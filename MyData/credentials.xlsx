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Fuertes\git\Alfonso_Staging_Pega_FL_Cloud\MyData\"/>
    </mc:Choice>
  </mc:AlternateContent>
  <xr:revisionPtr revIDLastSave="0" documentId="13_ncr:1_{E3DB9893-D03F-4F88-A301-0D6251A2E50A}" xr6:coauthVersionLast="47" xr6:coauthVersionMax="47" xr10:uidLastSave="{00000000-0000-0000-0000-000000000000}"/>
  <bookViews>
    <workbookView xWindow="48270" yWindow="-15840" windowWidth="29040" windowHeight="15720" activeTab="2" xr2:uid="{00000000-000D-0000-FFFF-FFFF00000000}"/>
  </bookViews>
  <sheets>
    <sheet name="Sheet1" sheetId="1" r:id="rId1"/>
    <sheet name="Reports" sheetId="4" r:id="rId2"/>
    <sheet name="CreateInsured" sheetId="3" r:id="rId3"/>
    <sheet name="SearchSubmission" sheetId="2" r:id="rId4"/>
    <sheet name="Workshee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</calcChain>
</file>

<file path=xl/sharedStrings.xml><?xml version="1.0" encoding="utf-8"?>
<sst xmlns="http://schemas.openxmlformats.org/spreadsheetml/2006/main" count="1066" uniqueCount="451">
  <si>
    <t>llbusinessadmin</t>
  </si>
  <si>
    <t>rules</t>
  </si>
  <si>
    <t>admin</t>
  </si>
  <si>
    <t>LNARDOCCI</t>
  </si>
  <si>
    <t>TestCaseID</t>
  </si>
  <si>
    <t>Policy Reference</t>
  </si>
  <si>
    <t>Insured Name</t>
  </si>
  <si>
    <t>Major Class</t>
  </si>
  <si>
    <t>Broker</t>
  </si>
  <si>
    <t>Status</t>
  </si>
  <si>
    <t>F22P5900A001</t>
  </si>
  <si>
    <t>Directors &amp; Officers Liability</t>
  </si>
  <si>
    <t>FL - Barcelona - France</t>
  </si>
  <si>
    <t>Producing Team</t>
  </si>
  <si>
    <t>IncludeVersikEclispe</t>
  </si>
  <si>
    <t>Yes</t>
  </si>
  <si>
    <t>InsuredName</t>
  </si>
  <si>
    <t>IsParent</t>
  </si>
  <si>
    <t>Addressline</t>
  </si>
  <si>
    <t>PostCode</t>
  </si>
  <si>
    <t>City</t>
  </si>
  <si>
    <t>Country</t>
  </si>
  <si>
    <t>NAIC Division</t>
  </si>
  <si>
    <t>NAIC Description</t>
  </si>
  <si>
    <t>Public/Private</t>
  </si>
  <si>
    <t>Reinsured</t>
  </si>
  <si>
    <t>Reinsured Name</t>
  </si>
  <si>
    <t>Broker Contact</t>
  </si>
  <si>
    <t>Class Type</t>
  </si>
  <si>
    <t>Minor Class</t>
  </si>
  <si>
    <t>Class</t>
  </si>
  <si>
    <t>Placing Type</t>
  </si>
  <si>
    <t>Sub Placing Type</t>
  </si>
  <si>
    <t>Underwriter</t>
  </si>
  <si>
    <t>Underwriting Assistant</t>
  </si>
  <si>
    <t>Inception Date</t>
  </si>
  <si>
    <t>Entity</t>
  </si>
  <si>
    <t>Legal Branch</t>
  </si>
  <si>
    <t>Original Currency</t>
  </si>
  <si>
    <t>TMHCC Written Participation%</t>
  </si>
  <si>
    <t>Layer Position</t>
  </si>
  <si>
    <t>Layer EEL Limit</t>
  </si>
  <si>
    <t>Layer AGG Limit</t>
  </si>
  <si>
    <t>Commission</t>
  </si>
  <si>
    <t>Territorial Scope</t>
  </si>
  <si>
    <t>Applicable Law</t>
  </si>
  <si>
    <t>UW Authority</t>
  </si>
  <si>
    <t>Cyber Coverage</t>
  </si>
  <si>
    <t>Policy Holder Revenue/Turn Over/Fee Income</t>
  </si>
  <si>
    <t>Test</t>
  </si>
  <si>
    <t>0000</t>
  </si>
  <si>
    <t>Barcelona</t>
  </si>
  <si>
    <t>Spain</t>
  </si>
  <si>
    <t>Financial</t>
  </si>
  <si>
    <t>Funds</t>
  </si>
  <si>
    <t>Private</t>
  </si>
  <si>
    <t>AIG Europe Limited</t>
  </si>
  <si>
    <t>Financial Lines</t>
  </si>
  <si>
    <t>Sandra Simoncini</t>
  </si>
  <si>
    <t>01/03/2023</t>
  </si>
  <si>
    <t>Spanish Branch</t>
  </si>
  <si>
    <t>EUR</t>
  </si>
  <si>
    <t>Spanish</t>
  </si>
  <si>
    <t>Excess Limit</t>
  </si>
  <si>
    <t>Layer Net Premium</t>
  </si>
  <si>
    <t>Tacit</t>
  </si>
  <si>
    <t>Tacit Renewal Date</t>
  </si>
  <si>
    <t>Entitys Total Assets</t>
  </si>
  <si>
    <t>Nicolas Pelletier</t>
  </si>
  <si>
    <t>01/2/2024</t>
  </si>
  <si>
    <t>Silent</t>
  </si>
  <si>
    <t>Tax Applicable</t>
  </si>
  <si>
    <t>Due Date</t>
  </si>
  <si>
    <t>No Taxes Apply</t>
  </si>
  <si>
    <t>PolicySlip</t>
  </si>
  <si>
    <t>01/5/2023</t>
  </si>
  <si>
    <t>CreateSubmission</t>
  </si>
  <si>
    <t>Side A + B + C</t>
  </si>
  <si>
    <t>Standard A + B + C</t>
  </si>
  <si>
    <t>FAC RI</t>
  </si>
  <si>
    <t>Tokio Marine Europe</t>
  </si>
  <si>
    <t>Layer Gross Premium</t>
  </si>
  <si>
    <t>Worldwide Ex Usa</t>
  </si>
  <si>
    <t>IsTacitRenewal</t>
  </si>
  <si>
    <t>FAC RI Excess</t>
  </si>
  <si>
    <t>Policy/Legally Approved Wording - CC Check not required</t>
  </si>
  <si>
    <t>BOUND</t>
  </si>
  <si>
    <t>SIGNED</t>
  </si>
  <si>
    <t>YearsofAccount</t>
  </si>
  <si>
    <t>UniCredit SpA</t>
  </si>
  <si>
    <t xml:space="preserve"> TC05 Test Bound</t>
  </si>
  <si>
    <t>262195_SearchPolicyInsuredNameAndMajorClass</t>
  </si>
  <si>
    <t>262196_SearchPolicyInsuredNameAndProducingTeam</t>
  </si>
  <si>
    <t>262231_SearchPolicyReference</t>
  </si>
  <si>
    <t>263882_SearchPolicyInsuredNameAndYear</t>
  </si>
  <si>
    <t>263882_SearchPolicyInsuredNameAndYear_1</t>
  </si>
  <si>
    <t>ProgrammeView</t>
  </si>
  <si>
    <t>262230_ProgrammeViewSearchMultiLOBID</t>
  </si>
  <si>
    <t>Multi LOB</t>
  </si>
  <si>
    <t>259892_ContractCertainityReports</t>
  </si>
  <si>
    <t>EMUELLER</t>
  </si>
  <si>
    <t>Created From Date</t>
  </si>
  <si>
    <t>Created To Date</t>
  </si>
  <si>
    <t>Resolved From Date</t>
  </si>
  <si>
    <t>Resolved To Date</t>
  </si>
  <si>
    <t>Businessadmin</t>
  </si>
  <si>
    <t>UserName</t>
  </si>
  <si>
    <t>Password</t>
  </si>
  <si>
    <t>Role</t>
  </si>
  <si>
    <t>01/01/2023</t>
  </si>
  <si>
    <t>01/05/2023</t>
  </si>
  <si>
    <t>Resolved-NotRequired</t>
  </si>
  <si>
    <t>259901_AdditionalSanctionsCheckforDAndOReport</t>
  </si>
  <si>
    <t>01/01/2024</t>
  </si>
  <si>
    <t>262228_SearchPolicyInsuredNameAndStatus</t>
  </si>
  <si>
    <t>262227_SearchPolicyInsuredNameBrokerandStatus</t>
  </si>
  <si>
    <t>259889_ViewPolicyOnClickOnInsuredLinkFromSubmissionSearch</t>
  </si>
  <si>
    <t>F22H6550A001</t>
  </si>
  <si>
    <t>259890_CheckForEndorsementsTab</t>
  </si>
  <si>
    <t>262211_VerifyUWWorksheetWorkbasket</t>
  </si>
  <si>
    <t>SROSS</t>
  </si>
  <si>
    <t>262229_ProgrammeViewSearchKRAndRISingleID</t>
  </si>
  <si>
    <t>Foxtrot</t>
  </si>
  <si>
    <t>Kidnap &amp; Ransom</t>
  </si>
  <si>
    <t>Single LOB</t>
  </si>
  <si>
    <t>262229_ProgrammeViewSearchKRAndRISingleID_1</t>
  </si>
  <si>
    <t>Project FOXTROT Marsh FR</t>
  </si>
  <si>
    <t>Transaction Risk Insurance</t>
  </si>
  <si>
    <t>262210_ProgramViewSearchPOSIAndDNOSingleOrMultipleProgrammeID</t>
  </si>
  <si>
    <t>Tessenderlo Group NV</t>
  </si>
  <si>
    <t>262210_ProgramViewSearchPOSIAndDNOSingleOrMultipleProgrammeID_1</t>
  </si>
  <si>
    <t>262190_DeclineSubmissionCyber</t>
  </si>
  <si>
    <t>262201_CreateNewBureauBordereauFacilityMajorClassAsBLDEntityAsLloyds</t>
  </si>
  <si>
    <t>HCC Specialty Underwriters Inc.</t>
  </si>
  <si>
    <t>United Kingdom</t>
  </si>
  <si>
    <t>No</t>
  </si>
  <si>
    <t>Lockton Companies LLP</t>
  </si>
  <si>
    <t>LCI/808</t>
  </si>
  <si>
    <t>Ed Smith</t>
  </si>
  <si>
    <t>Blended Policies</t>
  </si>
  <si>
    <t>Errors &amp; Omissions - Professional Indemnity</t>
  </si>
  <si>
    <t>E&amp;O/PI</t>
  </si>
  <si>
    <t>Crime</t>
  </si>
  <si>
    <t>Financial Crime</t>
  </si>
  <si>
    <t>FI - Crime only</t>
  </si>
  <si>
    <t>Bordereau Facility</t>
  </si>
  <si>
    <t>Binder - Full Authority</t>
  </si>
  <si>
    <t>Locktons Mini UK Lawyers</t>
  </si>
  <si>
    <t>Adam Bohle</t>
  </si>
  <si>
    <t>Stacey Ross</t>
  </si>
  <si>
    <t>FL - London - CPI</t>
  </si>
  <si>
    <t>Primary</t>
  </si>
  <si>
    <t>HCC Syndicate 4141</t>
  </si>
  <si>
    <t>GBP</t>
  </si>
  <si>
    <t>Alan Wright</t>
  </si>
  <si>
    <t>Not Tacit</t>
  </si>
  <si>
    <t>E3</t>
  </si>
  <si>
    <t>BB</t>
  </si>
  <si>
    <t>B0808TESTING</t>
  </si>
  <si>
    <t>CoverHolderName</t>
  </si>
  <si>
    <t>VariousInsured</t>
  </si>
  <si>
    <t>Pseudo Code</t>
  </si>
  <si>
    <t>MajorClass1</t>
  </si>
  <si>
    <t>MinorClass1</t>
  </si>
  <si>
    <t>Class1</t>
  </si>
  <si>
    <t>MajorClass2</t>
  </si>
  <si>
    <t>MinorClass2</t>
  </si>
  <si>
    <t>Class2</t>
  </si>
  <si>
    <t>TMHCC Placing Title</t>
  </si>
  <si>
    <t>ISPrimary</t>
  </si>
  <si>
    <t>PremiumPercentage</t>
  </si>
  <si>
    <t>LlyodsRiskCode1</t>
  </si>
  <si>
    <t>LlyodsRiskCode2</t>
  </si>
  <si>
    <t>BrokerReference</t>
  </si>
  <si>
    <t>SBF Benchmark Loss Ratio</t>
  </si>
  <si>
    <t>PricedTechPremium</t>
  </si>
  <si>
    <t>262225_CreateNewBureauProportionalTreaty</t>
  </si>
  <si>
    <t>262225_CreateNewBureauProportionalTreaty_1</t>
  </si>
  <si>
    <t>Marsh Limited</t>
  </si>
  <si>
    <t>Proportional Treaty</t>
  </si>
  <si>
    <t>Fac Oblig</t>
  </si>
  <si>
    <t>ITGI Facultative Obligatory Agreement</t>
  </si>
  <si>
    <t>Excess</t>
  </si>
  <si>
    <t>D2</t>
  </si>
  <si>
    <t>B0509TESTING</t>
  </si>
  <si>
    <t>Hbakker</t>
  </si>
  <si>
    <t>UW</t>
  </si>
  <si>
    <t>260058_CheckforBrokerBinderTemplatesWORDOrPDF</t>
  </si>
  <si>
    <t>Insurance</t>
  </si>
  <si>
    <t>Direct Excess</t>
  </si>
  <si>
    <t>Level I</t>
  </si>
  <si>
    <t>IPT France</t>
  </si>
  <si>
    <t>Format</t>
  </si>
  <si>
    <t>Language</t>
  </si>
  <si>
    <t>Template</t>
  </si>
  <si>
    <t>Download PDF/Word</t>
  </si>
  <si>
    <t>English</t>
  </si>
  <si>
    <t>BB_TME_SP_ENG</t>
  </si>
  <si>
    <t>263883_VerifyProgrammeIDSearchForInsuredViaUtilitiesForBusinessAdmin</t>
  </si>
  <si>
    <t>S&amp;P InsuredName</t>
  </si>
  <si>
    <t>Royal Bank of Canada</t>
  </si>
  <si>
    <t>259917_CreateNewBureauBLDPolicyLloyds4141</t>
  </si>
  <si>
    <t>London</t>
  </si>
  <si>
    <t>Willis Limited</t>
  </si>
  <si>
    <t>B0801TESTING</t>
  </si>
  <si>
    <t>Commercial/ Universal Banks</t>
  </si>
  <si>
    <t>Direct Primary</t>
  </si>
  <si>
    <t>260006_CheckforRISlipTemplates</t>
  </si>
  <si>
    <t>UWA</t>
  </si>
  <si>
    <t>Public</t>
  </si>
  <si>
    <t>Debora D'Alleva</t>
  </si>
  <si>
    <t>FL - Barcelona - Local Policies</t>
  </si>
  <si>
    <t>Order%</t>
  </si>
  <si>
    <t>Estimated Signing %</t>
  </si>
  <si>
    <t>Calculated Line %</t>
  </si>
  <si>
    <t>TMHCC EEL Limit</t>
  </si>
  <si>
    <t>TMHCC AGG Limit</t>
  </si>
  <si>
    <t>LayerBrokerCommissionAmount</t>
  </si>
  <si>
    <t>TMHCCBrokerCommissionAmount</t>
  </si>
  <si>
    <t>TMHCCGrossPremium</t>
  </si>
  <si>
    <t>TMHCCNetPremium</t>
  </si>
  <si>
    <t>100.00000</t>
  </si>
  <si>
    <t>55.12345</t>
  </si>
  <si>
    <t>551,234.50</t>
  </si>
  <si>
    <t>1,000.00</t>
  </si>
  <si>
    <t>551.23</t>
  </si>
  <si>
    <t>5,512.35</t>
  </si>
  <si>
    <t>4,961.11</t>
  </si>
  <si>
    <t>ADRExposure</t>
  </si>
  <si>
    <t>LocalMarketCap</t>
  </si>
  <si>
    <t>Tax Code</t>
  </si>
  <si>
    <t>Tax Premium</t>
  </si>
  <si>
    <t>100</t>
  </si>
  <si>
    <t>Single Territory Taxes apply - no split</t>
  </si>
  <si>
    <t>Local_RI_Slip_BCN</t>
  </si>
  <si>
    <t>259455_CheckForPolicySlipTemplates</t>
  </si>
  <si>
    <t>262187_VerifyFinancialWorksheetApprovalthroughOnlineandwithSPconnect</t>
  </si>
  <si>
    <t>01/08/2024</t>
  </si>
  <si>
    <t>01/03/2024</t>
  </si>
  <si>
    <t>Director &amp; Officers Liability</t>
  </si>
  <si>
    <t>S&amp;P UniqueIdentifier</t>
  </si>
  <si>
    <t>Expiry Date</t>
  </si>
  <si>
    <t>01/03/2025</t>
  </si>
  <si>
    <t>Local_DO_ABC_TME_SP</t>
  </si>
  <si>
    <t>ASML Holding NV</t>
  </si>
  <si>
    <t>D&amp;O</t>
  </si>
  <si>
    <t>Worksheet Status</t>
  </si>
  <si>
    <t>10</t>
  </si>
  <si>
    <t>9,000</t>
  </si>
  <si>
    <t>1,000,000.00</t>
  </si>
  <si>
    <t>10,000,000.00</t>
  </si>
  <si>
    <t>10,000.00</t>
  </si>
  <si>
    <t>Worksheet ID</t>
  </si>
  <si>
    <t>W-1379</t>
  </si>
  <si>
    <t>Resolved-Completed</t>
  </si>
  <si>
    <t>D4</t>
  </si>
  <si>
    <t>PremiumPercentage2</t>
  </si>
  <si>
    <t>Payable To</t>
  </si>
  <si>
    <t>Fee Type</t>
  </si>
  <si>
    <t>Fee%</t>
  </si>
  <si>
    <t>Introduction Fee: Solitaire Insurance Brokers GmbH</t>
  </si>
  <si>
    <t>Payable To Row2</t>
  </si>
  <si>
    <t>Fee% Row2</t>
  </si>
  <si>
    <t>Lawyer</t>
  </si>
  <si>
    <t>Lawyer Fee: Altenburger (CH)</t>
  </si>
  <si>
    <t>Fee Type Row2</t>
  </si>
  <si>
    <t>F23E5760A001, F23K1750A001</t>
  </si>
  <si>
    <t>M2369507</t>
  </si>
  <si>
    <t>Worksheet Type</t>
  </si>
  <si>
    <t>Completion Due</t>
  </si>
  <si>
    <t>FL Manager</t>
  </si>
  <si>
    <t>Yannis Lancre</t>
  </si>
  <si>
    <t>D&amp;O - Pim Van Der Drift</t>
  </si>
  <si>
    <t>FLB Benelux &amp; Nordics</t>
  </si>
  <si>
    <t>Nina Van Ommeren</t>
  </si>
  <si>
    <t>Online Approval</t>
  </si>
  <si>
    <t>D&amp;O - Approved</t>
  </si>
  <si>
    <t>UW Authority Status</t>
  </si>
  <si>
    <t>D&amp;O - UW Authority Completed</t>
  </si>
  <si>
    <t>Commercial D&amp;O Worksheet</t>
  </si>
  <si>
    <t>D&amp;O - 18/06/2023</t>
  </si>
  <si>
    <t>s</t>
  </si>
  <si>
    <t>262211_VerifyUWWorksheetWorkbasket_1</t>
  </si>
  <si>
    <t>W-1252</t>
  </si>
  <si>
    <t>M2267179</t>
  </si>
  <si>
    <t>F22A9330A001, F22H8020A001, F22D2470A001</t>
  </si>
  <si>
    <t>Novo Banco, S.A.</t>
  </si>
  <si>
    <t>Crime, E&amp;O/PI, D&amp;O</t>
  </si>
  <si>
    <t>D&amp;O - UW Authority Completed
Crime - UW Authority Completed
E&amp;O - UW Authority Completed</t>
  </si>
  <si>
    <t>D&amp;O - 18/02/2023
Crime - 21/02/2023
E&amp;O/PI - 18/02/2023</t>
  </si>
  <si>
    <t>Sandra Ferreira</t>
  </si>
  <si>
    <t>Crime - Sandra Ferreira
E&amp;O - Sandra Ferreira</t>
  </si>
  <si>
    <t>FLB Iberia</t>
  </si>
  <si>
    <t>Alejandro Julia</t>
  </si>
  <si>
    <t>FI Worksheet (D&amp;O/E&amp;O/Crime/BLD)</t>
  </si>
  <si>
    <t>262211_VerifyUWWorksheetWorkbasket_2</t>
  </si>
  <si>
    <t>Rolando Pagano</t>
  </si>
  <si>
    <t>Initiated</t>
  </si>
  <si>
    <t>K&amp;Rtype</t>
  </si>
  <si>
    <t>0.00</t>
  </si>
  <si>
    <t>60.00000</t>
  </si>
  <si>
    <t>ActualInsured</t>
  </si>
  <si>
    <t>State</t>
  </si>
  <si>
    <t>TargetName</t>
  </si>
  <si>
    <t>ParentInsured</t>
  </si>
  <si>
    <t>04/05/2025</t>
  </si>
  <si>
    <t>10,000,000.00000</t>
  </si>
  <si>
    <t xml:space="preserve">10,000,000.00000
</t>
  </si>
  <si>
    <t>55.00000</t>
  </si>
  <si>
    <t>550,000.00</t>
  </si>
  <si>
    <t>550.00</t>
  </si>
  <si>
    <t>5,500.00</t>
  </si>
  <si>
    <t>4,950.00</t>
  </si>
  <si>
    <t>BusinessProvider</t>
  </si>
  <si>
    <t>PolicyPeriod</t>
  </si>
  <si>
    <t>263886_ProgrammViewVerifyModlifybuttonfromProgrammeIDSearchResultsforBusinessAdmin</t>
  </si>
  <si>
    <t>Quote Reference</t>
  </si>
  <si>
    <t>SDO2383963</t>
  </si>
  <si>
    <t>M2371722</t>
  </si>
  <si>
    <t>QF22022587R</t>
  </si>
  <si>
    <t>263886_ProgrammViewVerifyModlifybuttonfromProgrammeIDSearchResultsforBusinessAdmin_1</t>
  </si>
  <si>
    <t>SCR2279732</t>
  </si>
  <si>
    <t>M2266368</t>
  </si>
  <si>
    <t>QF22022586R</t>
  </si>
  <si>
    <t>263886_ProgrammViewVerifyModlifybuttonfromProgrammeIDSearchResultsforBusinessAdmin_2</t>
  </si>
  <si>
    <t>SDO2383604</t>
  </si>
  <si>
    <t>M2370331</t>
  </si>
  <si>
    <t>QF23091182R</t>
  </si>
  <si>
    <t>263886_ProgrammViewVerifyModlifybuttonfromProgrammeIDSearchResultsforBusinessAdmin_3</t>
  </si>
  <si>
    <t>SDO2280850</t>
  </si>
  <si>
    <t>M2269767</t>
  </si>
  <si>
    <t>QF22097205R</t>
  </si>
  <si>
    <t>263886_ProgrammViewVerifyModlifybuttonfromProgrammeIDSearchResultsforBusinessAdmin_4</t>
  </si>
  <si>
    <t>SDO2067911</t>
  </si>
  <si>
    <t>M2061068</t>
  </si>
  <si>
    <t>QF19073985R</t>
  </si>
  <si>
    <t>Single LOB Id</t>
  </si>
  <si>
    <t>Multi LOB Id</t>
  </si>
  <si>
    <t>259562_CheckWorkFlowReportsOpenRNBSubmissions</t>
  </si>
  <si>
    <t>259891_CheckforClaimsTab</t>
  </si>
  <si>
    <t>EnterpriseValue</t>
  </si>
  <si>
    <t>EVCurrency</t>
  </si>
  <si>
    <t>WorkingStatus</t>
  </si>
  <si>
    <t>Working Status Note</t>
  </si>
  <si>
    <t>Completion Date</t>
  </si>
  <si>
    <t>Maximum Limit Quoted</t>
  </si>
  <si>
    <t>Broker Name</t>
  </si>
  <si>
    <t>Buyer</t>
  </si>
  <si>
    <t>Seller</t>
  </si>
  <si>
    <t>TargetDomicile</t>
  </si>
  <si>
    <t>TargetNAIC</t>
  </si>
  <si>
    <t>BuyerCountry</t>
  </si>
  <si>
    <t>SellerCountry</t>
  </si>
  <si>
    <t>NotTakeUpReason</t>
  </si>
  <si>
    <t>SubRationale</t>
  </si>
  <si>
    <t>NotTakenUpDesc</t>
  </si>
  <si>
    <t>GenerateInstallmentMessage</t>
  </si>
  <si>
    <t>262224_ReOpenNTUQuoteTRI</t>
  </si>
  <si>
    <t>New York</t>
  </si>
  <si>
    <t>United States of America</t>
  </si>
  <si>
    <t>Aon Risk Services Northeast Inc</t>
  </si>
  <si>
    <t>Amy Moritz</t>
  </si>
  <si>
    <t>Warranty &amp; Indemnity</t>
  </si>
  <si>
    <t>W&amp;I - Seller side</t>
  </si>
  <si>
    <t>Adria Vazquez</t>
  </si>
  <si>
    <t>Elba Bello Larruy</t>
  </si>
  <si>
    <t>FL - Barcelona - TRI</t>
  </si>
  <si>
    <t>Houston Casualty Company</t>
  </si>
  <si>
    <t>9,000.00</t>
  </si>
  <si>
    <t>Lawyer Fee: AIG Europe Limited</t>
  </si>
  <si>
    <t>test</t>
  </si>
  <si>
    <t>Armando Testa</t>
  </si>
  <si>
    <t>USD</t>
  </si>
  <si>
    <t>NBI requested</t>
  </si>
  <si>
    <t>ebello</t>
  </si>
  <si>
    <t>TRI User</t>
  </si>
  <si>
    <t>Test test</t>
  </si>
  <si>
    <t xml:space="preserve">1,000,000 </t>
  </si>
  <si>
    <t>Aon Risk Services Northeast, Inc.</t>
  </si>
  <si>
    <t>Test Buyer</t>
  </si>
  <si>
    <t>Test Seller</t>
  </si>
  <si>
    <t>Italy</t>
  </si>
  <si>
    <t>Music Events/Film/Tv Production/ Radio/ Tv Broadcasting</t>
  </si>
  <si>
    <t>Bound</t>
  </si>
  <si>
    <t>Portugal</t>
  </si>
  <si>
    <t>External</t>
  </si>
  <si>
    <t>Buyer Lost the Bid</t>
  </si>
  <si>
    <t>Test test test test</t>
  </si>
  <si>
    <t>The Instalments are not submitted. Please submit before finalising the policy.</t>
  </si>
  <si>
    <t>UnderwriterUserName</t>
  </si>
  <si>
    <t>Status1</t>
  </si>
  <si>
    <t>Version</t>
  </si>
  <si>
    <t>UnderwriterReview</t>
  </si>
  <si>
    <t>AssignedUnderwriter</t>
  </si>
  <si>
    <t>UnderWriter1</t>
  </si>
  <si>
    <t>Avazquez</t>
  </si>
  <si>
    <t>Approved</t>
  </si>
  <si>
    <t>UW Quality Check Vers.1</t>
  </si>
  <si>
    <t>Paul Rayner</t>
  </si>
  <si>
    <t>Prayner</t>
  </si>
  <si>
    <t>HBakker</t>
  </si>
  <si>
    <t>Bad Financials of Insured</t>
  </si>
  <si>
    <t>FL - Barcelona - Southern Europe</t>
  </si>
  <si>
    <t>01/03/2022</t>
  </si>
  <si>
    <t>01/5/2022</t>
  </si>
  <si>
    <t>Request has been submitted successfully. An email notification will be sent in case of any failure. Please do not refresh the page for the declined/NTU´d Submissions not to come up whilst being processed. Additional Submissions can be selected to decline/NTU.</t>
  </si>
  <si>
    <t>No items for the filters applied</t>
  </si>
  <si>
    <t>Username</t>
  </si>
  <si>
    <t>DeclinedReason</t>
  </si>
  <si>
    <t>expectedMessage</t>
  </si>
  <si>
    <t>expectedNoItemsMessage</t>
  </si>
  <si>
    <t>259909_CreateRenewalBureauBordereauFacilityBLDLloyds4141_Part1</t>
  </si>
  <si>
    <t>sross</t>
  </si>
  <si>
    <t>01/05/2022</t>
  </si>
  <si>
    <t>259909_CreateRenewalBureauBordereauFacilityBLDLloyds4141_Part2</t>
  </si>
  <si>
    <t>F18H6550A001</t>
  </si>
  <si>
    <t>UnderwriterUsername1</t>
  </si>
  <si>
    <t>Cristina Fong</t>
  </si>
  <si>
    <t>UnderwriterPassword</t>
  </si>
  <si>
    <t>RenewalPassword</t>
  </si>
  <si>
    <t>VipinUAT</t>
  </si>
  <si>
    <t>UnderwriterUsername</t>
  </si>
  <si>
    <t>UnderwriterUserPassword</t>
  </si>
  <si>
    <t>abohle</t>
  </si>
  <si>
    <t>Rules@123456</t>
  </si>
  <si>
    <t>Various Insureds - UK</t>
  </si>
  <si>
    <t>CryptoExposure</t>
  </si>
  <si>
    <t>Air France</t>
  </si>
  <si>
    <t>Banco Bilbao Vizcaya Argentaria</t>
  </si>
  <si>
    <t>input_Lead</t>
  </si>
  <si>
    <t>QBE 1886</t>
  </si>
  <si>
    <t>QBE Insurance</t>
  </si>
  <si>
    <t>Endurance Worldwide</t>
  </si>
  <si>
    <t>TME Netherlands</t>
  </si>
  <si>
    <t>TME S.A</t>
  </si>
  <si>
    <t>MS Amlin</t>
  </si>
  <si>
    <t>PRE SE</t>
  </si>
  <si>
    <t>GR Fra</t>
  </si>
  <si>
    <t>Munich Re</t>
  </si>
  <si>
    <t>Brit Insurance</t>
  </si>
  <si>
    <t>Brit Syndicate</t>
  </si>
  <si>
    <t>Aon Benfield Madrid</t>
  </si>
  <si>
    <t>AON Benfield Barcelona</t>
  </si>
  <si>
    <t>Aon Madrid</t>
  </si>
  <si>
    <t>AON GIL Y CARVAJAL SOCIEDAD ANONIMA CORREDURIA DE SEGUROS</t>
  </si>
  <si>
    <t>Aon Reinsurance Iberia SAU Correduría de Reaseguros</t>
  </si>
  <si>
    <t>Eduard Tormo</t>
  </si>
  <si>
    <t>ALLIANZ GLOBAL CORPORATE &amp; SPECIALTY, SE Sucursal en España</t>
  </si>
  <si>
    <t>CTB/509</t>
  </si>
  <si>
    <t>Adam Read</t>
  </si>
  <si>
    <t>Adam Maciaszkiewicz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</si>
</sst>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7"/>
      <color theme="1"/>
      <name val="Segoe UI"/>
      <family val="2"/>
    </font>
    <font>
      <sz val="11"/>
      <color rgb="FF000000"/>
      <name val="Arial"/>
      <family val="2"/>
    </font>
    <font>
      <sz val="10"/>
      <color theme="1"/>
      <name val="Segoe UI"/>
      <family val="2"/>
    </font>
    <font>
      <sz val="10"/>
      <color rgb="FF000000"/>
      <name val="Consolas"/>
      <family val="3"/>
    </font>
    <font>
      <sz val="11"/>
      <color rgb="FF000000"/>
      <name val="Calibri"/>
      <family val="2"/>
      <scheme val="minor"/>
    </font>
    <font>
      <sz val="6"/>
      <color rgb="FF1F1F1F"/>
      <name val="Courier New"/>
      <family val="3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quotePrefix="1"/>
    <xf numFmtId="3" fontId="0" fillId="0" borderId="0" xfId="0" applyNumberFormat="1"/>
    <xf numFmtId="14" fontId="0" fillId="0" borderId="0" xfId="0" quotePrefix="1" applyNumberFormat="1"/>
    <xf numFmtId="164" fontId="0" fillId="0" borderId="0" xfId="0" quotePrefix="1" applyNumberFormat="1"/>
    <xf numFmtId="22" fontId="0" fillId="0" borderId="0" xfId="0" applyNumberFormat="1"/>
    <xf numFmtId="0" fontId="1" fillId="0" borderId="0" xfId="0" applyFont="1" applyAlignment="1">
      <alignment vertical="center"/>
    </xf>
    <xf numFmtId="3" fontId="2" fillId="0" borderId="0" xfId="0" applyNumberFormat="1" applyFont="1"/>
    <xf numFmtId="0" fontId="0" fillId="0" borderId="0" xfId="0" applyAlignment="1">
      <alignment wrapText="1"/>
    </xf>
    <xf numFmtId="4" fontId="3" fillId="0" borderId="0" xfId="0" quotePrefix="1" applyNumberFormat="1" applyFont="1"/>
    <xf numFmtId="4" fontId="0" fillId="0" borderId="0" xfId="0" quotePrefix="1" applyNumberFormat="1"/>
    <xf numFmtId="0" fontId="4" fillId="0" borderId="0" xfId="0" quotePrefix="1" applyFont="1"/>
    <xf numFmtId="3" fontId="0" fillId="0" borderId="0" xfId="0" quotePrefix="1" applyNumberFormat="1"/>
    <xf numFmtId="0" fontId="0" fillId="0" borderId="0" xfId="0" quotePrefix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14" fontId="4" fillId="0" borderId="0" xfId="0" quotePrefix="1" applyNumberFormat="1" applyFont="1"/>
    <xf numFmtId="14" fontId="0" fillId="0" borderId="0" xfId="0" applyNumberFormat="1"/>
    <xf numFmtId="0" fontId="7" fillId="0" borderId="0" xfId="0" applyFont="1"/>
    <xf numFmtId="0" fontId="2" fillId="0" borderId="0" xfId="0" applyFont="1"/>
    <xf numFmtId="0" fontId="6" fillId="0" borderId="1" xfId="0" applyFont="1" applyBorder="1"/>
    <xf numFmtId="0" fontId="9" fillId="0" borderId="0" xfId="0" applyFont="1"/>
    <xf numFmtId="0" fontId="10" fillId="0" borderId="0" xfId="1"/>
    <xf numFmtId="0" fontId="11" fillId="0" borderId="0" xfId="0" applyFon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les@092025" TargetMode="External"/><Relationship Id="rId2" Type="http://schemas.openxmlformats.org/officeDocument/2006/relationships/hyperlink" Target="mailto:Rules@092025" TargetMode="External"/><Relationship Id="rId1" Type="http://schemas.openxmlformats.org/officeDocument/2006/relationships/hyperlink" Target="mailto:Rules@092025" TargetMode="External"/><Relationship Id="rId4" Type="http://schemas.openxmlformats.org/officeDocument/2006/relationships/hyperlink" Target="mailto:Rules@0920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workbookViewId="0">
      <selection activeCell="E1" sqref="E1:G1"/>
    </sheetView>
  </sheetViews>
  <sheetFormatPr defaultRowHeight="15" x14ac:dyDescent="0.25"/>
  <cols>
    <col min="1" max="1" width="41.85546875" customWidth="1"/>
    <col min="2" max="2" width="17" customWidth="1"/>
    <col min="3" max="3" width="16.5703125" customWidth="1"/>
  </cols>
  <sheetData>
    <row r="1" spans="1:4" x14ac:dyDescent="0.25">
      <c r="A1" t="s">
        <v>4</v>
      </c>
      <c r="B1" t="s">
        <v>106</v>
      </c>
      <c r="C1" t="s">
        <v>107</v>
      </c>
      <c r="D1" t="s">
        <v>108</v>
      </c>
    </row>
    <row r="2" spans="1:4" x14ac:dyDescent="0.25">
      <c r="B2" t="s">
        <v>0</v>
      </c>
      <c r="C2" t="s">
        <v>1</v>
      </c>
      <c r="D2" t="s">
        <v>2</v>
      </c>
    </row>
    <row r="3" spans="1:4" x14ac:dyDescent="0.25">
      <c r="A3" t="s">
        <v>99</v>
      </c>
      <c r="B3" t="s">
        <v>0</v>
      </c>
      <c r="C3" t="s">
        <v>1</v>
      </c>
      <c r="D3" t="s">
        <v>105</v>
      </c>
    </row>
    <row r="4" spans="1:4" x14ac:dyDescent="0.25">
      <c r="A4" t="s">
        <v>76</v>
      </c>
      <c r="B4" t="s">
        <v>3</v>
      </c>
      <c r="C4" t="s">
        <v>1</v>
      </c>
      <c r="D4" t="s">
        <v>2</v>
      </c>
    </row>
    <row r="5" spans="1:4" x14ac:dyDescent="0.25">
      <c r="A5" t="s">
        <v>112</v>
      </c>
      <c r="B5" t="s">
        <v>0</v>
      </c>
      <c r="C5" t="s">
        <v>1</v>
      </c>
      <c r="D5" t="s">
        <v>105</v>
      </c>
    </row>
    <row r="6" spans="1:4" x14ac:dyDescent="0.25">
      <c r="A6" t="s">
        <v>93</v>
      </c>
      <c r="B6" t="s">
        <v>3</v>
      </c>
      <c r="C6" t="s">
        <v>1</v>
      </c>
      <c r="D6" t="s">
        <v>2</v>
      </c>
    </row>
    <row r="7" spans="1:4" x14ac:dyDescent="0.25">
      <c r="A7" t="s">
        <v>91</v>
      </c>
      <c r="B7" t="s">
        <v>3</v>
      </c>
      <c r="C7" t="s">
        <v>1</v>
      </c>
      <c r="D7" t="s">
        <v>2</v>
      </c>
    </row>
    <row r="8" spans="1:4" x14ac:dyDescent="0.25">
      <c r="A8" t="s">
        <v>92</v>
      </c>
      <c r="B8" t="s">
        <v>3</v>
      </c>
      <c r="C8" t="s">
        <v>1</v>
      </c>
      <c r="D8" t="s">
        <v>2</v>
      </c>
    </row>
    <row r="9" spans="1:4" x14ac:dyDescent="0.25">
      <c r="A9" t="s">
        <v>114</v>
      </c>
      <c r="B9" t="s">
        <v>3</v>
      </c>
      <c r="C9" t="s">
        <v>1</v>
      </c>
      <c r="D9" t="s">
        <v>2</v>
      </c>
    </row>
    <row r="10" spans="1:4" x14ac:dyDescent="0.25">
      <c r="A10" t="s">
        <v>115</v>
      </c>
      <c r="B10" t="s">
        <v>3</v>
      </c>
      <c r="C10" t="s">
        <v>1</v>
      </c>
      <c r="D10" t="s">
        <v>2</v>
      </c>
    </row>
    <row r="11" spans="1:4" x14ac:dyDescent="0.25">
      <c r="A11" t="s">
        <v>94</v>
      </c>
      <c r="B11" t="s">
        <v>3</v>
      </c>
      <c r="C11" t="s">
        <v>1</v>
      </c>
      <c r="D11" t="s">
        <v>2</v>
      </c>
    </row>
    <row r="12" spans="1:4" x14ac:dyDescent="0.25">
      <c r="A12" t="s">
        <v>95</v>
      </c>
      <c r="B12" t="s">
        <v>3</v>
      </c>
      <c r="C12" t="s">
        <v>1</v>
      </c>
      <c r="D12" t="s">
        <v>2</v>
      </c>
    </row>
    <row r="13" spans="1:4" x14ac:dyDescent="0.25">
      <c r="A13" t="s">
        <v>97</v>
      </c>
      <c r="B13" t="s">
        <v>3</v>
      </c>
      <c r="C13" t="s">
        <v>1</v>
      </c>
      <c r="D13" t="s">
        <v>2</v>
      </c>
    </row>
    <row r="14" spans="1:4" x14ac:dyDescent="0.25">
      <c r="A14" t="s">
        <v>116</v>
      </c>
      <c r="B14" t="s">
        <v>0</v>
      </c>
      <c r="C14" t="s">
        <v>1</v>
      </c>
      <c r="D14" t="s">
        <v>2</v>
      </c>
    </row>
    <row r="15" spans="1:4" x14ac:dyDescent="0.25">
      <c r="A15" t="s">
        <v>118</v>
      </c>
      <c r="B15" t="s">
        <v>0</v>
      </c>
      <c r="C15" t="s">
        <v>1</v>
      </c>
      <c r="D15" t="s">
        <v>2</v>
      </c>
    </row>
    <row r="16" spans="1:4" x14ac:dyDescent="0.25">
      <c r="A16" t="s">
        <v>119</v>
      </c>
      <c r="B16" t="s">
        <v>120</v>
      </c>
      <c r="C16" t="s">
        <v>1</v>
      </c>
      <c r="D16" t="s">
        <v>2</v>
      </c>
    </row>
    <row r="17" spans="1:14" x14ac:dyDescent="0.25">
      <c r="A17" t="s">
        <v>131</v>
      </c>
      <c r="B17" t="s">
        <v>120</v>
      </c>
      <c r="C17" t="s">
        <v>1</v>
      </c>
      <c r="D17" t="s">
        <v>2</v>
      </c>
    </row>
    <row r="18" spans="1:14" x14ac:dyDescent="0.25">
      <c r="A18" t="s">
        <v>132</v>
      </c>
      <c r="B18" t="s">
        <v>100</v>
      </c>
      <c r="C18" t="s">
        <v>1</v>
      </c>
      <c r="D18" t="s">
        <v>2</v>
      </c>
    </row>
    <row r="19" spans="1:14" x14ac:dyDescent="0.25">
      <c r="A19" t="s">
        <v>176</v>
      </c>
      <c r="B19" t="s">
        <v>120</v>
      </c>
      <c r="C19" t="s">
        <v>1</v>
      </c>
      <c r="D19" t="s">
        <v>2</v>
      </c>
    </row>
    <row r="20" spans="1:14" x14ac:dyDescent="0.25">
      <c r="A20" t="s">
        <v>177</v>
      </c>
      <c r="B20" t="s">
        <v>185</v>
      </c>
      <c r="C20" t="s">
        <v>1</v>
      </c>
      <c r="D20" t="s">
        <v>186</v>
      </c>
    </row>
    <row r="21" spans="1:14" x14ac:dyDescent="0.25">
      <c r="A21" t="s">
        <v>187</v>
      </c>
      <c r="B21" t="s">
        <v>120</v>
      </c>
      <c r="C21" t="s">
        <v>1</v>
      </c>
      <c r="D21" t="s">
        <v>186</v>
      </c>
      <c r="G21" s="24"/>
    </row>
    <row r="22" spans="1:14" x14ac:dyDescent="0.25">
      <c r="A22" t="s">
        <v>198</v>
      </c>
      <c r="B22" t="s">
        <v>0</v>
      </c>
      <c r="C22" t="s">
        <v>1</v>
      </c>
      <c r="D22" t="s">
        <v>105</v>
      </c>
    </row>
    <row r="23" spans="1:14" x14ac:dyDescent="0.25">
      <c r="A23" t="s">
        <v>315</v>
      </c>
      <c r="B23" t="s">
        <v>0</v>
      </c>
      <c r="C23" t="s">
        <v>1</v>
      </c>
      <c r="D23" t="s">
        <v>105</v>
      </c>
    </row>
    <row r="24" spans="1:14" x14ac:dyDescent="0.25">
      <c r="A24" t="s">
        <v>207</v>
      </c>
      <c r="B24" t="s">
        <v>100</v>
      </c>
      <c r="C24" t="s">
        <v>1</v>
      </c>
      <c r="D24" t="s">
        <v>208</v>
      </c>
    </row>
    <row r="25" spans="1:14" x14ac:dyDescent="0.25">
      <c r="A25" t="s">
        <v>235</v>
      </c>
      <c r="B25" t="s">
        <v>100</v>
      </c>
      <c r="C25" t="s">
        <v>1</v>
      </c>
      <c r="D25" t="s">
        <v>208</v>
      </c>
    </row>
    <row r="26" spans="1:14" x14ac:dyDescent="0.25">
      <c r="A26" t="s">
        <v>236</v>
      </c>
      <c r="B26" t="s">
        <v>120</v>
      </c>
      <c r="C26" t="s">
        <v>1</v>
      </c>
      <c r="D26" t="s">
        <v>208</v>
      </c>
    </row>
    <row r="27" spans="1:14" x14ac:dyDescent="0.25">
      <c r="A27" t="s">
        <v>338</v>
      </c>
      <c r="B27" t="s">
        <v>3</v>
      </c>
      <c r="C27" t="s">
        <v>1</v>
      </c>
      <c r="D27" t="s">
        <v>2</v>
      </c>
      <c r="E27" t="s">
        <v>420</v>
      </c>
    </row>
    <row r="28" spans="1:14" x14ac:dyDescent="0.25">
      <c r="A28" t="s">
        <v>339</v>
      </c>
      <c r="B28" t="s">
        <v>100</v>
      </c>
      <c r="C28" t="s">
        <v>1</v>
      </c>
      <c r="D28" t="s">
        <v>208</v>
      </c>
    </row>
    <row r="29" spans="1:14" x14ac:dyDescent="0.25">
      <c r="A29" t="s">
        <v>411</v>
      </c>
      <c r="B29" t="s">
        <v>412</v>
      </c>
      <c r="C29" t="s">
        <v>1</v>
      </c>
      <c r="D29" t="s">
        <v>208</v>
      </c>
      <c r="N29" t="s">
        <v>401</v>
      </c>
    </row>
  </sheetData>
  <phoneticPr fontId="8" type="noConversion"/>
  <hyperlinks>
    <hyperlink ref="C14" r:id="rId1" display="mailto:Rules@092025" xr:uid="{E0B05ACC-2CA1-443D-BDF5-AE2F02FA6727}"/>
    <hyperlink ref="C15" r:id="rId2" display="mailto:Rules@092025" xr:uid="{C2AC0F3B-8EC8-417B-B47A-90455EB79EE2}"/>
    <hyperlink ref="C22" r:id="rId3" display="mailto:Rules@092025" xr:uid="{470A1DDB-E7C6-46CE-A3F8-00830C14032F}"/>
    <hyperlink ref="C23" r:id="rId4" display="mailto:Rules@092025" xr:uid="{DAFE380F-7024-4864-946C-B18C209989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DA74-D222-4AF6-9DD5-EC9ACDAAA12F}">
  <dimension ref="A1:F3"/>
  <sheetViews>
    <sheetView workbookViewId="0">
      <selection activeCell="B7" sqref="B7"/>
    </sheetView>
  </sheetViews>
  <sheetFormatPr defaultRowHeight="15" x14ac:dyDescent="0.25"/>
  <cols>
    <col min="1" max="1" width="29.7109375" bestFit="1" customWidth="1"/>
    <col min="2" max="2" width="16.5703125" bestFit="1" customWidth="1"/>
    <col min="3" max="3" width="10.42578125" bestFit="1" customWidth="1"/>
    <col min="4" max="4" width="17.5703125" bestFit="1" customWidth="1"/>
    <col min="5" max="5" width="15.28515625" bestFit="1" customWidth="1"/>
  </cols>
  <sheetData>
    <row r="1" spans="1:6" x14ac:dyDescent="0.25">
      <c r="A1" t="s">
        <v>4</v>
      </c>
      <c r="B1" t="s">
        <v>101</v>
      </c>
      <c r="C1" t="s">
        <v>102</v>
      </c>
      <c r="D1" t="s">
        <v>103</v>
      </c>
      <c r="E1" t="s">
        <v>104</v>
      </c>
      <c r="F1" t="s">
        <v>9</v>
      </c>
    </row>
    <row r="2" spans="1:6" x14ac:dyDescent="0.25">
      <c r="A2" t="s">
        <v>99</v>
      </c>
      <c r="B2" s="3" t="s">
        <v>109</v>
      </c>
      <c r="C2" s="1" t="s">
        <v>110</v>
      </c>
      <c r="D2" s="3" t="s">
        <v>109</v>
      </c>
      <c r="E2" s="1" t="s">
        <v>110</v>
      </c>
      <c r="F2" t="s">
        <v>111</v>
      </c>
    </row>
    <row r="3" spans="1:6" x14ac:dyDescent="0.25">
      <c r="A3" t="s">
        <v>112</v>
      </c>
      <c r="B3" s="3" t="s">
        <v>113</v>
      </c>
      <c r="C3" s="4">
        <f ca="1">TODAY()</f>
        <v>46063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95D0-0602-43A7-BFE4-8CE83244B792}">
  <dimension ref="A1:EF20"/>
  <sheetViews>
    <sheetView tabSelected="1" topLeftCell="AU13" zoomScaleNormal="100" workbookViewId="0">
      <selection activeCell="BK24" sqref="BK24"/>
    </sheetView>
  </sheetViews>
  <sheetFormatPr defaultRowHeight="15" x14ac:dyDescent="0.25"/>
  <cols>
    <col min="1" max="1" width="64.7109375" bestFit="1" customWidth="1"/>
    <col min="2" max="2" width="22.5703125" bestFit="1" customWidth="1"/>
    <col min="3" max="11" width="22.5703125" customWidth="1"/>
    <col min="16" max="16" width="23.42578125" customWidth="1"/>
    <col min="17" max="17" width="11.7109375" bestFit="1" customWidth="1"/>
    <col min="18" max="18" width="14.7109375" bestFit="1" customWidth="1"/>
    <col min="19" max="19" width="12.28515625" bestFit="1" customWidth="1"/>
    <col min="21" max="21" width="41" customWidth="1"/>
    <col min="22" max="22" width="30.7109375" customWidth="1"/>
    <col min="23" max="23" width="17" customWidth="1"/>
    <col min="24" max="24" width="15.5703125" bestFit="1" customWidth="1"/>
    <col min="25" max="25" width="20.28515625" bestFit="1" customWidth="1"/>
    <col min="26" max="26" width="24.28515625" bestFit="1" customWidth="1"/>
    <col min="27" max="32" width="24.28515625" customWidth="1"/>
    <col min="33" max="33" width="24.28515625" bestFit="1" customWidth="1"/>
    <col min="34" max="34" width="16.28515625" bestFit="1" customWidth="1"/>
    <col min="35" max="35" width="15.7109375" bestFit="1" customWidth="1"/>
    <col min="36" max="36" width="19.28515625" bestFit="1" customWidth="1"/>
    <col min="37" max="37" width="19.28515625" customWidth="1"/>
    <col min="38" max="38" width="22.42578125" bestFit="1" customWidth="1"/>
    <col min="39" max="39" width="19.7109375" bestFit="1" customWidth="1"/>
    <col min="40" max="40" width="27.7109375" bestFit="1" customWidth="1"/>
    <col min="41" max="41" width="27.7109375" customWidth="1"/>
    <col min="42" max="42" width="13.28515625" bestFit="1" customWidth="1"/>
    <col min="43" max="43" width="18.42578125" bestFit="1" customWidth="1"/>
    <col min="44" max="44" width="13.5703125" bestFit="1" customWidth="1"/>
    <col min="45" max="45" width="15.28515625" bestFit="1" customWidth="1"/>
    <col min="46" max="46" width="26.5703125" bestFit="1" customWidth="1"/>
    <col min="49" max="49" width="14" bestFit="1" customWidth="1"/>
    <col min="50" max="50" width="9.7109375" bestFit="1" customWidth="1"/>
    <col min="52" max="52" width="19.28515625" bestFit="1" customWidth="1"/>
    <col min="53" max="53" width="19.28515625" customWidth="1"/>
    <col min="54" max="54" width="14.5703125" bestFit="1" customWidth="1"/>
    <col min="55" max="55" width="13.28515625" bestFit="1" customWidth="1"/>
    <col min="62" max="62" width="9.7109375" bestFit="1" customWidth="1"/>
    <col min="63" max="63" width="39.42578125" bestFit="1" customWidth="1"/>
    <col min="64" max="64" width="12.7109375" bestFit="1" customWidth="1"/>
    <col min="66" max="66" width="49" bestFit="1" customWidth="1"/>
    <col min="68" max="68" width="49" customWidth="1"/>
    <col min="69" max="69" width="17.7109375" bestFit="1" customWidth="1"/>
    <col min="71" max="71" width="14.5703125" bestFit="1" customWidth="1"/>
    <col min="72" max="72" width="18.7109375" bestFit="1" customWidth="1"/>
    <col min="73" max="73" width="22.140625" customWidth="1"/>
    <col min="75" max="75" width="17.5703125" bestFit="1" customWidth="1"/>
    <col min="76" max="76" width="18.7109375" bestFit="1" customWidth="1"/>
    <col min="79" max="79" width="19" bestFit="1" customWidth="1"/>
    <col min="80" max="80" width="19" customWidth="1"/>
    <col min="89" max="89" width="17.5703125" bestFit="1" customWidth="1"/>
    <col min="90" max="90" width="10.42578125" bestFit="1" customWidth="1"/>
    <col min="91" max="91" width="15.5703125" bestFit="1" customWidth="1"/>
    <col min="92" max="92" width="44.28515625" bestFit="1" customWidth="1"/>
    <col min="95" max="95" width="25.42578125" bestFit="1" customWidth="1"/>
    <col min="96" max="96" width="10.28515625" bestFit="1" customWidth="1"/>
  </cols>
  <sheetData>
    <row r="1" spans="1:136" ht="45" x14ac:dyDescent="0.25">
      <c r="A1" t="s">
        <v>4</v>
      </c>
      <c r="B1" t="s">
        <v>16</v>
      </c>
      <c r="C1" t="s">
        <v>407</v>
      </c>
      <c r="D1" t="s">
        <v>419</v>
      </c>
      <c r="E1" t="s">
        <v>421</v>
      </c>
      <c r="F1" t="s">
        <v>422</v>
      </c>
      <c r="G1" t="s">
        <v>416</v>
      </c>
      <c r="H1" t="s">
        <v>418</v>
      </c>
      <c r="I1" t="s">
        <v>107</v>
      </c>
      <c r="J1" s="6" t="s">
        <v>159</v>
      </c>
      <c r="K1" s="6" t="s">
        <v>160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8</v>
      </c>
      <c r="W1" t="s">
        <v>161</v>
      </c>
      <c r="X1" t="s">
        <v>27</v>
      </c>
      <c r="Y1" t="s">
        <v>28</v>
      </c>
      <c r="Z1" t="s">
        <v>7</v>
      </c>
      <c r="AA1" t="s">
        <v>162</v>
      </c>
      <c r="AB1" t="s">
        <v>163</v>
      </c>
      <c r="AC1" t="s">
        <v>164</v>
      </c>
      <c r="AD1" s="6" t="s">
        <v>165</v>
      </c>
      <c r="AE1" t="s">
        <v>166</v>
      </c>
      <c r="AF1" t="s">
        <v>167</v>
      </c>
      <c r="AG1" t="s">
        <v>29</v>
      </c>
      <c r="AH1" t="s">
        <v>30</v>
      </c>
      <c r="AI1" t="s">
        <v>31</v>
      </c>
      <c r="AJ1" t="s">
        <v>32</v>
      </c>
      <c r="AK1" t="s">
        <v>168</v>
      </c>
      <c r="AL1" t="s">
        <v>33</v>
      </c>
      <c r="AM1" t="s">
        <v>34</v>
      </c>
      <c r="AN1" t="s">
        <v>13</v>
      </c>
      <c r="AO1" t="s">
        <v>169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63</v>
      </c>
      <c r="AY1" t="s">
        <v>43</v>
      </c>
      <c r="AZ1" t="s">
        <v>81</v>
      </c>
      <c r="BA1" t="s">
        <v>64</v>
      </c>
      <c r="BB1" t="s">
        <v>44</v>
      </c>
      <c r="BC1" t="s">
        <v>45</v>
      </c>
      <c r="BD1" t="s">
        <v>46</v>
      </c>
      <c r="BE1" t="s">
        <v>83</v>
      </c>
      <c r="BF1" t="s">
        <v>66</v>
      </c>
      <c r="BG1" t="s">
        <v>47</v>
      </c>
      <c r="BH1" t="s">
        <v>228</v>
      </c>
      <c r="BI1" t="s">
        <v>229</v>
      </c>
      <c r="BJ1" t="s">
        <v>67</v>
      </c>
      <c r="BK1" t="s">
        <v>48</v>
      </c>
      <c r="BL1" t="s">
        <v>71</v>
      </c>
      <c r="BM1" t="s">
        <v>72</v>
      </c>
      <c r="BN1" t="s">
        <v>74</v>
      </c>
      <c r="BO1" s="6" t="s">
        <v>231</v>
      </c>
      <c r="BP1" t="s">
        <v>230</v>
      </c>
      <c r="BQ1" t="s">
        <v>170</v>
      </c>
      <c r="BR1" t="s">
        <v>171</v>
      </c>
      <c r="BS1" t="s">
        <v>172</v>
      </c>
      <c r="BT1" t="s">
        <v>256</v>
      </c>
      <c r="BU1" t="s">
        <v>173</v>
      </c>
      <c r="BV1" t="s">
        <v>174</v>
      </c>
      <c r="BW1" t="s">
        <v>175</v>
      </c>
      <c r="BX1" t="s">
        <v>192</v>
      </c>
      <c r="BY1" t="s">
        <v>193</v>
      </c>
      <c r="BZ1" t="s">
        <v>194</v>
      </c>
      <c r="CA1" t="s">
        <v>199</v>
      </c>
      <c r="CB1" t="s">
        <v>240</v>
      </c>
      <c r="CC1" t="s">
        <v>212</v>
      </c>
      <c r="CD1" s="6" t="s">
        <v>213</v>
      </c>
      <c r="CE1" s="6" t="s">
        <v>214</v>
      </c>
      <c r="CF1" s="8" t="s">
        <v>215</v>
      </c>
      <c r="CG1" s="8" t="s">
        <v>216</v>
      </c>
      <c r="CH1" t="s">
        <v>217</v>
      </c>
      <c r="CI1" t="s">
        <v>218</v>
      </c>
      <c r="CJ1" t="s">
        <v>219</v>
      </c>
      <c r="CK1" t="s">
        <v>220</v>
      </c>
      <c r="CL1" t="s">
        <v>241</v>
      </c>
      <c r="CM1" t="s">
        <v>257</v>
      </c>
      <c r="CN1" t="s">
        <v>258</v>
      </c>
      <c r="CO1" t="s">
        <v>259</v>
      </c>
      <c r="CP1" t="s">
        <v>261</v>
      </c>
      <c r="CQ1" t="s">
        <v>265</v>
      </c>
      <c r="CR1" t="s">
        <v>262</v>
      </c>
      <c r="CS1" s="6" t="s">
        <v>298</v>
      </c>
      <c r="CT1" s="6" t="s">
        <v>301</v>
      </c>
      <c r="CU1" s="6" t="s">
        <v>302</v>
      </c>
      <c r="CV1" s="6" t="s">
        <v>303</v>
      </c>
      <c r="CW1" s="6" t="s">
        <v>304</v>
      </c>
      <c r="CX1" s="14" t="s">
        <v>314</v>
      </c>
      <c r="CY1" t="s">
        <v>340</v>
      </c>
      <c r="CZ1" t="s">
        <v>341</v>
      </c>
      <c r="DA1" t="s">
        <v>169</v>
      </c>
      <c r="DB1" t="s">
        <v>342</v>
      </c>
      <c r="DC1" t="s">
        <v>106</v>
      </c>
      <c r="DD1" t="s">
        <v>107</v>
      </c>
      <c r="DE1" t="s">
        <v>108</v>
      </c>
      <c r="DF1" t="s">
        <v>343</v>
      </c>
      <c r="DG1" t="s">
        <v>344</v>
      </c>
      <c r="DH1" t="s">
        <v>345</v>
      </c>
      <c r="DI1" t="s">
        <v>346</v>
      </c>
      <c r="DJ1" t="s">
        <v>347</v>
      </c>
      <c r="DK1" t="s">
        <v>348</v>
      </c>
      <c r="DL1" t="s">
        <v>349</v>
      </c>
      <c r="DM1" t="s">
        <v>350</v>
      </c>
      <c r="DN1" t="s">
        <v>9</v>
      </c>
      <c r="DO1" t="s">
        <v>351</v>
      </c>
      <c r="DP1" t="s">
        <v>352</v>
      </c>
      <c r="DQ1" t="s">
        <v>353</v>
      </c>
      <c r="DR1" t="s">
        <v>354</v>
      </c>
      <c r="DS1" t="s">
        <v>355</v>
      </c>
      <c r="DT1" t="s">
        <v>356</v>
      </c>
      <c r="DV1" t="s">
        <v>389</v>
      </c>
      <c r="DW1" t="s">
        <v>390</v>
      </c>
      <c r="DX1" t="s">
        <v>391</v>
      </c>
      <c r="DY1" t="s">
        <v>392</v>
      </c>
      <c r="DZ1" t="s">
        <v>393</v>
      </c>
      <c r="EA1" t="s">
        <v>394</v>
      </c>
      <c r="EB1" t="s">
        <v>408</v>
      </c>
      <c r="EC1" t="s">
        <v>409</v>
      </c>
      <c r="ED1" t="s">
        <v>410</v>
      </c>
      <c r="EE1" s="6" t="s">
        <v>426</v>
      </c>
      <c r="EF1" t="s">
        <v>429</v>
      </c>
    </row>
    <row r="2" spans="1:136" x14ac:dyDescent="0.25">
      <c r="A2" t="s">
        <v>114</v>
      </c>
      <c r="B2" s="5"/>
      <c r="C2" s="5"/>
      <c r="D2" s="5"/>
      <c r="E2" s="5"/>
      <c r="F2" s="5"/>
      <c r="G2" s="5"/>
      <c r="H2" s="5"/>
      <c r="I2" s="5"/>
      <c r="J2" s="5"/>
      <c r="K2" s="5"/>
      <c r="L2" t="s">
        <v>15</v>
      </c>
      <c r="M2" t="s">
        <v>49</v>
      </c>
      <c r="N2" s="1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15</v>
      </c>
      <c r="U2" t="s">
        <v>56</v>
      </c>
      <c r="V2" t="s">
        <v>445</v>
      </c>
      <c r="X2" t="s">
        <v>446</v>
      </c>
      <c r="Y2" t="s">
        <v>57</v>
      </c>
      <c r="Z2" t="s">
        <v>11</v>
      </c>
      <c r="AG2" t="s">
        <v>77</v>
      </c>
      <c r="AH2" t="s">
        <v>78</v>
      </c>
      <c r="AI2" t="s">
        <v>79</v>
      </c>
      <c r="AJ2" t="s">
        <v>84</v>
      </c>
      <c r="AL2" s="21" t="s">
        <v>450</v>
      </c>
      <c r="AM2" s="15" t="s">
        <v>417</v>
      </c>
      <c r="AN2" s="19" t="s">
        <v>402</v>
      </c>
      <c r="AP2" s="1" t="s">
        <v>59</v>
      </c>
      <c r="AQ2" t="s">
        <v>80</v>
      </c>
      <c r="AR2" s="1" t="s">
        <v>60</v>
      </c>
      <c r="AS2" t="s">
        <v>61</v>
      </c>
      <c r="AT2">
        <v>100</v>
      </c>
      <c r="AU2">
        <v>1</v>
      </c>
      <c r="AV2">
        <v>1000000</v>
      </c>
      <c r="AW2">
        <v>1000000</v>
      </c>
      <c r="AX2">
        <v>100000</v>
      </c>
      <c r="AY2">
        <v>10</v>
      </c>
      <c r="AZ2">
        <v>1000</v>
      </c>
      <c r="BA2" s="2">
        <v>9000</v>
      </c>
      <c r="BB2" t="s">
        <v>82</v>
      </c>
      <c r="BC2" t="s">
        <v>62</v>
      </c>
      <c r="BD2" t="s">
        <v>68</v>
      </c>
      <c r="BE2" t="s">
        <v>65</v>
      </c>
      <c r="BF2" s="3" t="s">
        <v>69</v>
      </c>
      <c r="BG2" t="s">
        <v>70</v>
      </c>
      <c r="BJ2" s="2">
        <v>10000000</v>
      </c>
      <c r="BK2" s="2">
        <v>10000000</v>
      </c>
      <c r="BM2" s="3"/>
      <c r="BN2" s="1"/>
      <c r="BP2" s="1"/>
      <c r="EE2" s="15" t="s">
        <v>15</v>
      </c>
      <c r="EF2" t="s">
        <v>430</v>
      </c>
    </row>
    <row r="3" spans="1:136" x14ac:dyDescent="0.25">
      <c r="A3" t="s">
        <v>115</v>
      </c>
      <c r="L3" t="s">
        <v>15</v>
      </c>
      <c r="M3" t="s">
        <v>49</v>
      </c>
      <c r="N3" s="1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15</v>
      </c>
      <c r="U3" t="s">
        <v>56</v>
      </c>
      <c r="V3" t="s">
        <v>445</v>
      </c>
      <c r="X3" t="s">
        <v>446</v>
      </c>
      <c r="Y3" t="s">
        <v>57</v>
      </c>
      <c r="Z3" t="s">
        <v>11</v>
      </c>
      <c r="AG3" t="s">
        <v>77</v>
      </c>
      <c r="AH3" t="s">
        <v>78</v>
      </c>
      <c r="AI3" t="s">
        <v>79</v>
      </c>
      <c r="AJ3" t="s">
        <v>84</v>
      </c>
      <c r="AL3" s="21" t="s">
        <v>450</v>
      </c>
      <c r="AM3" s="15" t="s">
        <v>417</v>
      </c>
      <c r="AN3" s="19" t="s">
        <v>402</v>
      </c>
      <c r="AP3" s="1" t="s">
        <v>59</v>
      </c>
      <c r="AQ3" t="s">
        <v>80</v>
      </c>
      <c r="AR3" s="1" t="s">
        <v>60</v>
      </c>
      <c r="AS3" t="s">
        <v>61</v>
      </c>
      <c r="AT3">
        <v>100</v>
      </c>
      <c r="AU3">
        <v>1</v>
      </c>
      <c r="AV3">
        <v>1000000</v>
      </c>
      <c r="AW3">
        <v>1000000</v>
      </c>
      <c r="AX3">
        <v>100000</v>
      </c>
      <c r="AY3">
        <v>10</v>
      </c>
      <c r="AZ3">
        <v>10000</v>
      </c>
      <c r="BA3" s="2">
        <v>9000</v>
      </c>
      <c r="BB3" t="s">
        <v>82</v>
      </c>
      <c r="BC3" t="s">
        <v>62</v>
      </c>
      <c r="BD3" t="s">
        <v>68</v>
      </c>
      <c r="BE3" t="s">
        <v>65</v>
      </c>
      <c r="BF3" s="3" t="s">
        <v>69</v>
      </c>
      <c r="BG3" t="s">
        <v>70</v>
      </c>
      <c r="BJ3" s="2">
        <v>10000000</v>
      </c>
      <c r="BK3" s="2">
        <v>10000000</v>
      </c>
      <c r="BL3" t="s">
        <v>73</v>
      </c>
      <c r="BM3" s="3" t="s">
        <v>75</v>
      </c>
      <c r="BN3" s="1" t="s">
        <v>85</v>
      </c>
      <c r="BP3" s="1"/>
      <c r="EE3" s="15" t="s">
        <v>15</v>
      </c>
      <c r="EF3" t="s">
        <v>431</v>
      </c>
    </row>
    <row r="4" spans="1:136" x14ac:dyDescent="0.25">
      <c r="A4" t="s">
        <v>131</v>
      </c>
      <c r="B4" s="5"/>
      <c r="C4" s="5"/>
      <c r="D4" s="5"/>
      <c r="E4" s="5"/>
      <c r="F4" s="5"/>
      <c r="G4" s="5"/>
      <c r="H4" s="5"/>
      <c r="I4" s="5"/>
      <c r="J4" s="5"/>
      <c r="K4" s="5"/>
      <c r="L4" t="s">
        <v>15</v>
      </c>
      <c r="M4" t="s">
        <v>49</v>
      </c>
      <c r="N4" s="1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15</v>
      </c>
      <c r="U4" t="s">
        <v>56</v>
      </c>
      <c r="V4" t="s">
        <v>445</v>
      </c>
      <c r="X4" t="s">
        <v>446</v>
      </c>
      <c r="Y4" t="s">
        <v>57</v>
      </c>
      <c r="Z4" t="s">
        <v>11</v>
      </c>
      <c r="AG4" t="s">
        <v>77</v>
      </c>
      <c r="AH4" t="s">
        <v>78</v>
      </c>
      <c r="AI4" t="s">
        <v>79</v>
      </c>
      <c r="AJ4" t="s">
        <v>84</v>
      </c>
      <c r="AL4" s="21" t="s">
        <v>450</v>
      </c>
      <c r="AM4" s="15" t="s">
        <v>417</v>
      </c>
      <c r="AN4" s="19" t="s">
        <v>402</v>
      </c>
      <c r="AP4" s="1" t="s">
        <v>59</v>
      </c>
      <c r="AQ4" t="s">
        <v>80</v>
      </c>
      <c r="AR4" s="1" t="s">
        <v>60</v>
      </c>
      <c r="EE4" s="15" t="s">
        <v>15</v>
      </c>
      <c r="EF4" t="s">
        <v>430</v>
      </c>
    </row>
    <row r="5" spans="1:136" x14ac:dyDescent="0.25">
      <c r="A5" t="s">
        <v>132</v>
      </c>
      <c r="J5" t="s">
        <v>133</v>
      </c>
      <c r="K5" t="s">
        <v>425</v>
      </c>
      <c r="P5" t="s">
        <v>134</v>
      </c>
      <c r="T5" t="s">
        <v>135</v>
      </c>
      <c r="V5" t="s">
        <v>136</v>
      </c>
      <c r="W5" t="s">
        <v>137</v>
      </c>
      <c r="X5" t="s">
        <v>138</v>
      </c>
      <c r="Y5" t="s">
        <v>57</v>
      </c>
      <c r="Z5" t="s">
        <v>139</v>
      </c>
      <c r="AA5" t="s">
        <v>140</v>
      </c>
      <c r="AB5" t="s">
        <v>141</v>
      </c>
      <c r="AC5" t="s">
        <v>141</v>
      </c>
      <c r="AD5" t="s">
        <v>142</v>
      </c>
      <c r="AE5" t="s">
        <v>143</v>
      </c>
      <c r="AF5" t="s">
        <v>144</v>
      </c>
      <c r="AI5" t="s">
        <v>145</v>
      </c>
      <c r="AJ5" s="1" t="s">
        <v>146</v>
      </c>
      <c r="AK5" s="1" t="s">
        <v>147</v>
      </c>
      <c r="AL5" s="1" t="s">
        <v>148</v>
      </c>
      <c r="AM5" s="1" t="s">
        <v>149</v>
      </c>
      <c r="AN5" t="s">
        <v>150</v>
      </c>
      <c r="AO5" t="s">
        <v>151</v>
      </c>
      <c r="AP5" s="1" t="s">
        <v>59</v>
      </c>
      <c r="AQ5" t="s">
        <v>152</v>
      </c>
      <c r="AR5" t="s">
        <v>152</v>
      </c>
      <c r="AS5" t="s">
        <v>153</v>
      </c>
      <c r="AT5">
        <v>51</v>
      </c>
      <c r="AY5">
        <v>10</v>
      </c>
      <c r="BD5" t="s">
        <v>154</v>
      </c>
      <c r="BE5" s="1" t="s">
        <v>155</v>
      </c>
      <c r="BM5" s="3" t="s">
        <v>75</v>
      </c>
      <c r="BQ5">
        <v>50</v>
      </c>
      <c r="BR5" t="s">
        <v>156</v>
      </c>
      <c r="BS5" t="s">
        <v>157</v>
      </c>
      <c r="BU5" t="s">
        <v>158</v>
      </c>
      <c r="BV5">
        <v>57.5</v>
      </c>
      <c r="BW5">
        <v>1000</v>
      </c>
      <c r="EE5" s="15" t="s">
        <v>15</v>
      </c>
      <c r="EF5" t="s">
        <v>436</v>
      </c>
    </row>
    <row r="6" spans="1:136" x14ac:dyDescent="0.25">
      <c r="A6" t="s">
        <v>176</v>
      </c>
      <c r="J6" t="s">
        <v>133</v>
      </c>
      <c r="K6" t="s">
        <v>425</v>
      </c>
      <c r="O6" t="s">
        <v>202</v>
      </c>
      <c r="P6" t="s">
        <v>134</v>
      </c>
      <c r="T6" t="s">
        <v>15</v>
      </c>
      <c r="U6" t="s">
        <v>56</v>
      </c>
      <c r="V6" t="s">
        <v>178</v>
      </c>
      <c r="W6" t="s">
        <v>448</v>
      </c>
      <c r="X6" t="s">
        <v>449</v>
      </c>
      <c r="Y6" t="s">
        <v>57</v>
      </c>
      <c r="Z6" t="s">
        <v>11</v>
      </c>
      <c r="AG6" t="s">
        <v>77</v>
      </c>
      <c r="AH6" t="s">
        <v>78</v>
      </c>
      <c r="AI6" t="s">
        <v>179</v>
      </c>
      <c r="AJ6" t="s">
        <v>180</v>
      </c>
      <c r="AK6" t="s">
        <v>181</v>
      </c>
      <c r="AL6" t="s">
        <v>450</v>
      </c>
      <c r="AM6" t="s">
        <v>149</v>
      </c>
      <c r="AN6" t="s">
        <v>150</v>
      </c>
      <c r="AO6" t="s">
        <v>182</v>
      </c>
      <c r="AP6" s="1" t="s">
        <v>59</v>
      </c>
      <c r="AQ6" t="s">
        <v>152</v>
      </c>
      <c r="AR6" t="s">
        <v>152</v>
      </c>
      <c r="AS6" t="s">
        <v>153</v>
      </c>
      <c r="AT6" s="1" t="s">
        <v>300</v>
      </c>
      <c r="AY6">
        <v>10</v>
      </c>
      <c r="BD6" t="s">
        <v>148</v>
      </c>
      <c r="BE6" t="s">
        <v>65</v>
      </c>
      <c r="BF6" s="3" t="s">
        <v>113</v>
      </c>
      <c r="BM6" s="3" t="s">
        <v>75</v>
      </c>
      <c r="BQ6">
        <v>100</v>
      </c>
      <c r="BR6" t="s">
        <v>183</v>
      </c>
      <c r="BU6" t="s">
        <v>184</v>
      </c>
      <c r="BV6">
        <v>57.5</v>
      </c>
      <c r="BW6">
        <v>1000</v>
      </c>
      <c r="CC6" s="1" t="s">
        <v>221</v>
      </c>
      <c r="CD6" s="1" t="s">
        <v>221</v>
      </c>
      <c r="CH6" s="1" t="s">
        <v>299</v>
      </c>
      <c r="CI6" s="1" t="s">
        <v>299</v>
      </c>
      <c r="CJ6" s="1" t="s">
        <v>299</v>
      </c>
      <c r="CK6" s="1" t="s">
        <v>299</v>
      </c>
      <c r="EE6" s="15" t="s">
        <v>15</v>
      </c>
      <c r="EF6" t="s">
        <v>447</v>
      </c>
    </row>
    <row r="7" spans="1:136" x14ac:dyDescent="0.25">
      <c r="A7" t="s">
        <v>187</v>
      </c>
      <c r="L7" t="s">
        <v>15</v>
      </c>
      <c r="M7" t="s">
        <v>49</v>
      </c>
      <c r="N7" s="1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55</v>
      </c>
      <c r="T7" t="s">
        <v>135</v>
      </c>
      <c r="V7" t="s">
        <v>445</v>
      </c>
      <c r="X7" t="s">
        <v>446</v>
      </c>
      <c r="Y7" t="s">
        <v>57</v>
      </c>
      <c r="Z7" t="s">
        <v>11</v>
      </c>
      <c r="AG7" t="s">
        <v>77</v>
      </c>
      <c r="AH7" t="s">
        <v>78</v>
      </c>
      <c r="AI7" t="s">
        <v>188</v>
      </c>
      <c r="AJ7" t="s">
        <v>189</v>
      </c>
      <c r="AL7" s="21" t="s">
        <v>450</v>
      </c>
      <c r="AM7" s="15" t="s">
        <v>417</v>
      </c>
      <c r="AN7" s="19" t="s">
        <v>402</v>
      </c>
      <c r="AP7" s="1" t="s">
        <v>59</v>
      </c>
      <c r="AQ7" t="s">
        <v>80</v>
      </c>
      <c r="AR7" s="1" t="s">
        <v>60</v>
      </c>
      <c r="AS7" t="s">
        <v>61</v>
      </c>
      <c r="AT7">
        <v>55.123449999999998</v>
      </c>
      <c r="AU7">
        <v>1</v>
      </c>
      <c r="AV7" s="1" t="s">
        <v>249</v>
      </c>
      <c r="AW7" s="1" t="s">
        <v>249</v>
      </c>
      <c r="AX7" s="12" t="s">
        <v>250</v>
      </c>
      <c r="AY7" s="1" t="s">
        <v>247</v>
      </c>
      <c r="AZ7" s="1" t="s">
        <v>251</v>
      </c>
      <c r="BA7" s="12" t="s">
        <v>248</v>
      </c>
      <c r="BB7" t="s">
        <v>82</v>
      </c>
      <c r="BC7" t="s">
        <v>62</v>
      </c>
      <c r="BD7" t="s">
        <v>68</v>
      </c>
      <c r="BE7" t="s">
        <v>65</v>
      </c>
      <c r="BF7" s="3" t="s">
        <v>113</v>
      </c>
      <c r="BG7" t="s">
        <v>70</v>
      </c>
      <c r="BH7" t="s">
        <v>190</v>
      </c>
      <c r="BI7" s="2">
        <v>1000000</v>
      </c>
      <c r="BJ7" s="2">
        <v>10000000</v>
      </c>
      <c r="BK7" s="2">
        <v>10000000</v>
      </c>
      <c r="BL7" t="s">
        <v>233</v>
      </c>
      <c r="BM7" s="3" t="s">
        <v>75</v>
      </c>
      <c r="BN7" s="1" t="s">
        <v>85</v>
      </c>
      <c r="BO7" s="11" t="s">
        <v>232</v>
      </c>
      <c r="BP7" t="s">
        <v>191</v>
      </c>
      <c r="BQ7">
        <v>100</v>
      </c>
      <c r="BX7" t="s">
        <v>195</v>
      </c>
      <c r="BY7" t="s">
        <v>196</v>
      </c>
      <c r="BZ7" t="s">
        <v>197</v>
      </c>
      <c r="CC7" s="1" t="s">
        <v>221</v>
      </c>
      <c r="CD7" s="1" t="s">
        <v>221</v>
      </c>
      <c r="CE7" s="1" t="s">
        <v>222</v>
      </c>
      <c r="CF7" s="1" t="s">
        <v>223</v>
      </c>
      <c r="CG7" s="1" t="s">
        <v>223</v>
      </c>
      <c r="CH7" s="9" t="s">
        <v>224</v>
      </c>
      <c r="CI7" s="1" t="s">
        <v>225</v>
      </c>
      <c r="CJ7" s="10" t="s">
        <v>226</v>
      </c>
      <c r="CK7" s="1" t="s">
        <v>227</v>
      </c>
      <c r="EE7" s="15" t="s">
        <v>15</v>
      </c>
      <c r="EF7" t="s">
        <v>432</v>
      </c>
    </row>
    <row r="8" spans="1:136" ht="30" x14ac:dyDescent="0.25">
      <c r="A8" t="s">
        <v>201</v>
      </c>
      <c r="L8" t="s">
        <v>15</v>
      </c>
      <c r="M8" t="s">
        <v>49</v>
      </c>
      <c r="N8" s="1" t="s">
        <v>50</v>
      </c>
      <c r="O8" t="s">
        <v>202</v>
      </c>
      <c r="P8" t="s">
        <v>134</v>
      </c>
      <c r="Q8" t="s">
        <v>53</v>
      </c>
      <c r="R8" t="s">
        <v>54</v>
      </c>
      <c r="S8" t="s">
        <v>209</v>
      </c>
      <c r="T8" t="s">
        <v>15</v>
      </c>
      <c r="U8" t="s">
        <v>56</v>
      </c>
      <c r="V8" t="s">
        <v>136</v>
      </c>
      <c r="W8" t="s">
        <v>137</v>
      </c>
      <c r="X8" t="s">
        <v>138</v>
      </c>
      <c r="Y8" t="s">
        <v>57</v>
      </c>
      <c r="Z8" t="s">
        <v>139</v>
      </c>
      <c r="AA8" t="s">
        <v>239</v>
      </c>
      <c r="AB8" t="s">
        <v>77</v>
      </c>
      <c r="AC8" t="s">
        <v>78</v>
      </c>
      <c r="AD8" t="s">
        <v>140</v>
      </c>
      <c r="AE8" t="s">
        <v>141</v>
      </c>
      <c r="AF8" t="s">
        <v>141</v>
      </c>
      <c r="AI8" t="s">
        <v>79</v>
      </c>
      <c r="AJ8" t="s">
        <v>84</v>
      </c>
      <c r="AL8" t="s">
        <v>148</v>
      </c>
      <c r="AM8" t="s">
        <v>149</v>
      </c>
      <c r="AN8" t="s">
        <v>150</v>
      </c>
      <c r="AP8" s="3" t="s">
        <v>237</v>
      </c>
      <c r="AQ8" t="s">
        <v>152</v>
      </c>
      <c r="AR8" t="s">
        <v>152</v>
      </c>
      <c r="AS8" t="s">
        <v>153</v>
      </c>
      <c r="AT8">
        <v>55</v>
      </c>
      <c r="AU8">
        <v>1</v>
      </c>
      <c r="AV8" s="2">
        <v>1000000</v>
      </c>
      <c r="AW8" s="2">
        <v>1000000</v>
      </c>
      <c r="AX8">
        <v>10000000</v>
      </c>
      <c r="AY8">
        <v>10</v>
      </c>
      <c r="AZ8">
        <v>10000</v>
      </c>
      <c r="BA8">
        <v>9000</v>
      </c>
      <c r="BB8" t="s">
        <v>82</v>
      </c>
      <c r="BC8" t="s">
        <v>62</v>
      </c>
      <c r="BD8" t="s">
        <v>154</v>
      </c>
      <c r="BE8" t="s">
        <v>65</v>
      </c>
      <c r="BF8" s="3" t="s">
        <v>305</v>
      </c>
      <c r="BH8" t="s">
        <v>190</v>
      </c>
      <c r="BI8" s="2">
        <v>1000000</v>
      </c>
      <c r="BJ8" s="1" t="s">
        <v>306</v>
      </c>
      <c r="BK8" s="13" t="s">
        <v>307</v>
      </c>
      <c r="BM8" s="3" t="s">
        <v>237</v>
      </c>
      <c r="BN8" s="1" t="s">
        <v>85</v>
      </c>
      <c r="BQ8">
        <v>40</v>
      </c>
      <c r="BR8" t="s">
        <v>255</v>
      </c>
      <c r="BS8" t="s">
        <v>156</v>
      </c>
      <c r="BT8">
        <v>60</v>
      </c>
      <c r="BU8" t="s">
        <v>204</v>
      </c>
      <c r="BV8">
        <v>57.5</v>
      </c>
      <c r="BW8">
        <v>1000</v>
      </c>
      <c r="CC8" s="1" t="s">
        <v>221</v>
      </c>
      <c r="CD8" s="1" t="s">
        <v>221</v>
      </c>
      <c r="CE8" s="1" t="s">
        <v>308</v>
      </c>
      <c r="CF8" s="1" t="s">
        <v>309</v>
      </c>
      <c r="CG8" s="1" t="s">
        <v>309</v>
      </c>
      <c r="CH8" s="1" t="s">
        <v>224</v>
      </c>
      <c r="CI8" s="13" t="s">
        <v>310</v>
      </c>
      <c r="CJ8" s="1" t="s">
        <v>311</v>
      </c>
      <c r="CK8" s="1" t="s">
        <v>312</v>
      </c>
      <c r="CM8" t="s">
        <v>313</v>
      </c>
      <c r="CN8" s="1" t="s">
        <v>260</v>
      </c>
      <c r="CO8">
        <v>10</v>
      </c>
      <c r="CP8" t="s">
        <v>263</v>
      </c>
      <c r="CQ8" t="s">
        <v>264</v>
      </c>
      <c r="CR8">
        <v>10</v>
      </c>
      <c r="EE8" s="15" t="s">
        <v>15</v>
      </c>
      <c r="EF8" t="s">
        <v>433</v>
      </c>
    </row>
    <row r="9" spans="1:136" x14ac:dyDescent="0.25">
      <c r="A9" t="s">
        <v>236</v>
      </c>
      <c r="L9" t="s">
        <v>15</v>
      </c>
      <c r="M9" t="s">
        <v>49</v>
      </c>
      <c r="N9" s="1" t="s">
        <v>50</v>
      </c>
      <c r="O9" t="s">
        <v>51</v>
      </c>
      <c r="P9" t="s">
        <v>52</v>
      </c>
      <c r="Q9" t="s">
        <v>53</v>
      </c>
      <c r="R9" t="s">
        <v>205</v>
      </c>
      <c r="S9" t="s">
        <v>55</v>
      </c>
      <c r="T9" t="s">
        <v>135</v>
      </c>
      <c r="V9" t="s">
        <v>445</v>
      </c>
      <c r="X9" t="s">
        <v>446</v>
      </c>
      <c r="Y9" t="s">
        <v>57</v>
      </c>
      <c r="Z9" t="s">
        <v>11</v>
      </c>
      <c r="AG9" t="s">
        <v>77</v>
      </c>
      <c r="AH9" t="s">
        <v>78</v>
      </c>
      <c r="AI9" t="s">
        <v>188</v>
      </c>
      <c r="AJ9" t="s">
        <v>206</v>
      </c>
      <c r="AL9" s="21" t="s">
        <v>450</v>
      </c>
      <c r="AM9" s="15" t="s">
        <v>417</v>
      </c>
      <c r="AN9" s="19" t="s">
        <v>402</v>
      </c>
      <c r="AP9" s="3" t="s">
        <v>238</v>
      </c>
      <c r="AQ9" t="s">
        <v>80</v>
      </c>
      <c r="AR9" t="s">
        <v>60</v>
      </c>
      <c r="CA9" t="s">
        <v>200</v>
      </c>
      <c r="CB9">
        <v>109809</v>
      </c>
      <c r="EE9" s="15" t="s">
        <v>15</v>
      </c>
      <c r="EF9" t="s">
        <v>434</v>
      </c>
    </row>
    <row r="10" spans="1:136" x14ac:dyDescent="0.25">
      <c r="A10" t="s">
        <v>207</v>
      </c>
      <c r="L10" t="s">
        <v>15</v>
      </c>
      <c r="M10" t="s">
        <v>49</v>
      </c>
      <c r="N10" s="1" t="s">
        <v>50</v>
      </c>
      <c r="O10" t="s">
        <v>51</v>
      </c>
      <c r="P10" t="s">
        <v>52</v>
      </c>
      <c r="Q10" t="s">
        <v>53</v>
      </c>
      <c r="R10" t="s">
        <v>54</v>
      </c>
      <c r="S10" t="s">
        <v>209</v>
      </c>
      <c r="T10" t="s">
        <v>15</v>
      </c>
      <c r="U10" t="s">
        <v>56</v>
      </c>
      <c r="V10" t="s">
        <v>445</v>
      </c>
      <c r="X10" t="s">
        <v>446</v>
      </c>
      <c r="Y10" t="s">
        <v>57</v>
      </c>
      <c r="Z10" t="s">
        <v>11</v>
      </c>
      <c r="AG10" t="s">
        <v>77</v>
      </c>
      <c r="AH10" t="s">
        <v>78</v>
      </c>
      <c r="AI10" t="s">
        <v>79</v>
      </c>
      <c r="AJ10" t="s">
        <v>84</v>
      </c>
      <c r="AL10" t="s">
        <v>210</v>
      </c>
      <c r="AM10" t="s">
        <v>58</v>
      </c>
      <c r="AN10" t="s">
        <v>211</v>
      </c>
      <c r="AP10" s="1" t="s">
        <v>59</v>
      </c>
      <c r="AQ10" t="s">
        <v>80</v>
      </c>
      <c r="AR10" s="1" t="s">
        <v>60</v>
      </c>
      <c r="AS10" t="s">
        <v>61</v>
      </c>
      <c r="AT10">
        <v>55.123449999999998</v>
      </c>
      <c r="AU10">
        <v>1</v>
      </c>
      <c r="AV10" s="7">
        <v>1000000</v>
      </c>
      <c r="AW10" s="2">
        <v>1000000</v>
      </c>
      <c r="AX10" s="2">
        <v>10000000</v>
      </c>
      <c r="AY10">
        <v>10</v>
      </c>
      <c r="AZ10">
        <v>10000</v>
      </c>
      <c r="BA10">
        <v>9000</v>
      </c>
      <c r="BB10" t="s">
        <v>82</v>
      </c>
      <c r="BC10" t="s">
        <v>62</v>
      </c>
      <c r="BD10" t="s">
        <v>68</v>
      </c>
      <c r="BE10" t="s">
        <v>65</v>
      </c>
      <c r="BF10" s="3" t="s">
        <v>113</v>
      </c>
      <c r="BG10" t="s">
        <v>70</v>
      </c>
      <c r="BH10" t="s">
        <v>190</v>
      </c>
      <c r="BI10" s="2">
        <v>1000000</v>
      </c>
      <c r="BJ10" s="2">
        <v>10000000</v>
      </c>
      <c r="BK10" s="2">
        <v>10000000</v>
      </c>
      <c r="BL10" t="s">
        <v>233</v>
      </c>
      <c r="BM10" s="3" t="s">
        <v>75</v>
      </c>
      <c r="BN10" s="1" t="s">
        <v>85</v>
      </c>
      <c r="BO10" s="11" t="s">
        <v>232</v>
      </c>
      <c r="BP10" t="s">
        <v>191</v>
      </c>
      <c r="BQ10">
        <v>100</v>
      </c>
      <c r="BX10" t="s">
        <v>195</v>
      </c>
      <c r="BY10" t="s">
        <v>196</v>
      </c>
      <c r="BZ10" t="s">
        <v>234</v>
      </c>
      <c r="CC10" s="1" t="s">
        <v>221</v>
      </c>
      <c r="CD10" s="1" t="s">
        <v>221</v>
      </c>
      <c r="CE10" s="1" t="s">
        <v>222</v>
      </c>
      <c r="CF10" s="1" t="s">
        <v>223</v>
      </c>
      <c r="CG10" s="1" t="s">
        <v>223</v>
      </c>
      <c r="CH10" s="9" t="s">
        <v>224</v>
      </c>
      <c r="CI10" s="1" t="s">
        <v>225</v>
      </c>
      <c r="CJ10" s="10" t="s">
        <v>226</v>
      </c>
      <c r="CK10" s="1" t="s">
        <v>227</v>
      </c>
      <c r="CX10">
        <v>366</v>
      </c>
      <c r="EE10" s="15" t="s">
        <v>15</v>
      </c>
      <c r="EF10" t="s">
        <v>435</v>
      </c>
    </row>
    <row r="11" spans="1:136" x14ac:dyDescent="0.25">
      <c r="A11" t="s">
        <v>235</v>
      </c>
      <c r="L11" t="s">
        <v>15</v>
      </c>
      <c r="M11" t="s">
        <v>49</v>
      </c>
      <c r="N11" s="1" t="s">
        <v>50</v>
      </c>
      <c r="O11" t="s">
        <v>51</v>
      </c>
      <c r="P11" t="s">
        <v>52</v>
      </c>
      <c r="Q11" t="s">
        <v>53</v>
      </c>
      <c r="R11" t="s">
        <v>54</v>
      </c>
      <c r="S11" t="s">
        <v>209</v>
      </c>
      <c r="T11" t="s">
        <v>135</v>
      </c>
      <c r="V11" t="s">
        <v>445</v>
      </c>
      <c r="X11" t="s">
        <v>446</v>
      </c>
      <c r="Y11" t="s">
        <v>57</v>
      </c>
      <c r="Z11" t="s">
        <v>11</v>
      </c>
      <c r="AG11" t="s">
        <v>77</v>
      </c>
      <c r="AH11" t="s">
        <v>78</v>
      </c>
      <c r="AI11" t="s">
        <v>188</v>
      </c>
      <c r="AJ11" t="s">
        <v>206</v>
      </c>
      <c r="AL11" t="s">
        <v>210</v>
      </c>
      <c r="AM11" t="s">
        <v>58</v>
      </c>
      <c r="AN11" t="s">
        <v>211</v>
      </c>
      <c r="AP11" s="1" t="s">
        <v>59</v>
      </c>
      <c r="AQ11" t="s">
        <v>80</v>
      </c>
      <c r="AR11" s="1" t="s">
        <v>60</v>
      </c>
      <c r="AS11" t="s">
        <v>61</v>
      </c>
      <c r="AT11">
        <v>55.123449999999998</v>
      </c>
      <c r="AU11">
        <v>1</v>
      </c>
      <c r="AV11" s="7">
        <v>1000000</v>
      </c>
      <c r="AW11" s="2">
        <v>1000000</v>
      </c>
      <c r="AX11" s="2">
        <v>10000000</v>
      </c>
      <c r="AY11">
        <v>10</v>
      </c>
      <c r="AZ11">
        <v>10000</v>
      </c>
      <c r="BA11">
        <v>9000</v>
      </c>
      <c r="BB11" t="s">
        <v>82</v>
      </c>
      <c r="BC11" t="s">
        <v>62</v>
      </c>
      <c r="BD11" t="s">
        <v>68</v>
      </c>
      <c r="BE11" t="s">
        <v>65</v>
      </c>
      <c r="BF11" s="3" t="s">
        <v>113</v>
      </c>
      <c r="BG11" t="s">
        <v>70</v>
      </c>
      <c r="BH11" t="s">
        <v>190</v>
      </c>
      <c r="BI11" s="2">
        <v>1000000</v>
      </c>
      <c r="BJ11" s="2">
        <v>10000000</v>
      </c>
      <c r="BK11" s="2">
        <v>10000000</v>
      </c>
      <c r="BL11" t="s">
        <v>233</v>
      </c>
      <c r="BM11" s="3" t="s">
        <v>75</v>
      </c>
      <c r="BN11" s="1" t="s">
        <v>85</v>
      </c>
      <c r="BO11" s="11" t="s">
        <v>232</v>
      </c>
      <c r="BP11" t="s">
        <v>191</v>
      </c>
      <c r="BQ11">
        <v>100</v>
      </c>
      <c r="BX11" t="s">
        <v>195</v>
      </c>
      <c r="BY11" t="s">
        <v>196</v>
      </c>
      <c r="BZ11" t="s">
        <v>243</v>
      </c>
      <c r="CC11" s="1" t="s">
        <v>221</v>
      </c>
      <c r="CD11" s="1" t="s">
        <v>221</v>
      </c>
      <c r="CE11" s="1" t="s">
        <v>222</v>
      </c>
      <c r="CF11" s="1" t="s">
        <v>223</v>
      </c>
      <c r="CG11" s="1" t="s">
        <v>223</v>
      </c>
      <c r="CH11" s="9" t="s">
        <v>224</v>
      </c>
      <c r="CI11" s="1" t="s">
        <v>225</v>
      </c>
      <c r="CJ11" s="10" t="s">
        <v>226</v>
      </c>
      <c r="CK11" s="1" t="s">
        <v>227</v>
      </c>
      <c r="CL11" s="3" t="s">
        <v>242</v>
      </c>
      <c r="EE11" s="15" t="s">
        <v>15</v>
      </c>
      <c r="EF11" t="s">
        <v>430</v>
      </c>
    </row>
    <row r="12" spans="1:136" x14ac:dyDescent="0.25">
      <c r="A12" t="s">
        <v>357</v>
      </c>
      <c r="C12" t="s">
        <v>374</v>
      </c>
      <c r="E12" t="s">
        <v>423</v>
      </c>
      <c r="F12" t="s">
        <v>1</v>
      </c>
      <c r="G12" s="20" t="s">
        <v>395</v>
      </c>
      <c r="H12" t="s">
        <v>1</v>
      </c>
      <c r="I12" t="s">
        <v>1</v>
      </c>
      <c r="L12" t="s">
        <v>15</v>
      </c>
      <c r="M12" t="s">
        <v>49</v>
      </c>
      <c r="N12" t="s">
        <v>50</v>
      </c>
      <c r="O12" s="25" t="s">
        <v>358</v>
      </c>
      <c r="P12" s="25" t="s">
        <v>359</v>
      </c>
      <c r="Q12" t="s">
        <v>53</v>
      </c>
      <c r="R12" t="s">
        <v>54</v>
      </c>
      <c r="S12" s="16" t="s">
        <v>55</v>
      </c>
      <c r="T12" t="s">
        <v>135</v>
      </c>
      <c r="V12" s="25" t="s">
        <v>360</v>
      </c>
      <c r="W12" s="25"/>
      <c r="X12" s="25" t="s">
        <v>361</v>
      </c>
      <c r="Y12" s="16" t="s">
        <v>57</v>
      </c>
      <c r="Z12" s="16" t="s">
        <v>127</v>
      </c>
      <c r="AG12" s="16" t="s">
        <v>362</v>
      </c>
      <c r="AH12" s="16" t="s">
        <v>363</v>
      </c>
      <c r="AI12" s="16" t="s">
        <v>188</v>
      </c>
      <c r="AJ12" s="16" t="s">
        <v>206</v>
      </c>
      <c r="AL12" s="16" t="s">
        <v>364</v>
      </c>
      <c r="AM12" s="16" t="s">
        <v>365</v>
      </c>
      <c r="AN12" s="16" t="s">
        <v>366</v>
      </c>
      <c r="AP12" s="17" t="s">
        <v>59</v>
      </c>
      <c r="AQ12" s="16" t="s">
        <v>367</v>
      </c>
      <c r="AR12" s="16" t="s">
        <v>367</v>
      </c>
      <c r="AS12" s="16" t="s">
        <v>61</v>
      </c>
      <c r="AT12">
        <v>100</v>
      </c>
      <c r="AU12">
        <v>0</v>
      </c>
      <c r="AW12" s="2">
        <v>1000000</v>
      </c>
      <c r="AY12">
        <v>10</v>
      </c>
      <c r="AZ12">
        <v>10000</v>
      </c>
      <c r="BA12">
        <v>9000</v>
      </c>
      <c r="BB12" t="s">
        <v>82</v>
      </c>
      <c r="BC12" t="s">
        <v>62</v>
      </c>
      <c r="BD12" t="s">
        <v>450</v>
      </c>
      <c r="BG12" t="s">
        <v>70</v>
      </c>
      <c r="BL12" t="s">
        <v>73</v>
      </c>
      <c r="BM12" s="3" t="s">
        <v>75</v>
      </c>
      <c r="CC12" s="1" t="s">
        <v>221</v>
      </c>
      <c r="CD12" s="1" t="s">
        <v>221</v>
      </c>
      <c r="CE12" s="1" t="s">
        <v>221</v>
      </c>
      <c r="CF12" s="1" t="s">
        <v>249</v>
      </c>
      <c r="CG12" s="1" t="s">
        <v>249</v>
      </c>
      <c r="CH12" s="9" t="s">
        <v>224</v>
      </c>
      <c r="CI12" s="9" t="s">
        <v>224</v>
      </c>
      <c r="CJ12" s="9" t="s">
        <v>251</v>
      </c>
      <c r="CK12" s="9" t="s">
        <v>368</v>
      </c>
      <c r="CL12" s="3" t="s">
        <v>242</v>
      </c>
      <c r="CM12" t="s">
        <v>263</v>
      </c>
      <c r="CN12" t="s">
        <v>369</v>
      </c>
      <c r="CO12">
        <v>10</v>
      </c>
      <c r="CT12" t="s">
        <v>370</v>
      </c>
      <c r="CU12" t="s">
        <v>358</v>
      </c>
      <c r="CV12" t="s">
        <v>371</v>
      </c>
      <c r="CX12">
        <v>366</v>
      </c>
      <c r="CY12" s="2">
        <v>10000000</v>
      </c>
      <c r="CZ12" t="s">
        <v>372</v>
      </c>
      <c r="DB12" t="s">
        <v>373</v>
      </c>
      <c r="DC12" t="s">
        <v>374</v>
      </c>
      <c r="DD12" t="s">
        <v>1</v>
      </c>
      <c r="DE12" t="s">
        <v>375</v>
      </c>
      <c r="DF12" t="s">
        <v>376</v>
      </c>
      <c r="DG12" s="18">
        <v>45108</v>
      </c>
      <c r="DH12" s="1" t="s">
        <v>377</v>
      </c>
      <c r="DI12" t="s">
        <v>378</v>
      </c>
      <c r="DJ12" t="s">
        <v>379</v>
      </c>
      <c r="DK12" t="s">
        <v>380</v>
      </c>
      <c r="DL12" t="s">
        <v>381</v>
      </c>
      <c r="DM12" t="s">
        <v>382</v>
      </c>
      <c r="DN12" t="s">
        <v>383</v>
      </c>
      <c r="DO12" t="s">
        <v>384</v>
      </c>
      <c r="DP12" t="s">
        <v>52</v>
      </c>
      <c r="DQ12" t="s">
        <v>385</v>
      </c>
      <c r="DR12" t="s">
        <v>386</v>
      </c>
      <c r="DS12" t="s">
        <v>387</v>
      </c>
      <c r="DT12" t="s">
        <v>388</v>
      </c>
      <c r="DV12" t="s">
        <v>395</v>
      </c>
      <c r="DW12" t="s">
        <v>396</v>
      </c>
      <c r="DX12" t="s">
        <v>397</v>
      </c>
      <c r="DY12" t="s">
        <v>398</v>
      </c>
      <c r="DZ12" t="s">
        <v>399</v>
      </c>
      <c r="EA12" t="s">
        <v>400</v>
      </c>
      <c r="EE12" s="15" t="s">
        <v>15</v>
      </c>
      <c r="EF12" t="s">
        <v>436</v>
      </c>
    </row>
    <row r="13" spans="1:136" x14ac:dyDescent="0.25">
      <c r="A13" t="s">
        <v>338</v>
      </c>
      <c r="C13" t="s">
        <v>420</v>
      </c>
      <c r="D13" s="23" t="s">
        <v>424</v>
      </c>
      <c r="E13" s="23"/>
      <c r="F13" s="23"/>
      <c r="I13" s="22" t="s">
        <v>1</v>
      </c>
      <c r="L13" t="s">
        <v>15</v>
      </c>
      <c r="M13" t="s">
        <v>49</v>
      </c>
      <c r="N13" s="1" t="s">
        <v>50</v>
      </c>
      <c r="O13" t="s">
        <v>51</v>
      </c>
      <c r="P13" t="s">
        <v>52</v>
      </c>
      <c r="Q13" t="s">
        <v>53</v>
      </c>
      <c r="R13" t="s">
        <v>54</v>
      </c>
      <c r="S13" t="s">
        <v>55</v>
      </c>
      <c r="T13" t="s">
        <v>15</v>
      </c>
      <c r="U13" t="s">
        <v>56</v>
      </c>
      <c r="V13" t="s">
        <v>445</v>
      </c>
      <c r="X13" t="s">
        <v>446</v>
      </c>
      <c r="Y13" t="s">
        <v>57</v>
      </c>
      <c r="Z13" t="s">
        <v>11</v>
      </c>
      <c r="AG13" t="s">
        <v>77</v>
      </c>
      <c r="AH13" t="s">
        <v>78</v>
      </c>
      <c r="AI13" t="s">
        <v>79</v>
      </c>
      <c r="AJ13" t="s">
        <v>84</v>
      </c>
      <c r="AL13" s="21" t="s">
        <v>450</v>
      </c>
      <c r="AM13" s="15" t="s">
        <v>417</v>
      </c>
      <c r="AN13" s="19" t="s">
        <v>402</v>
      </c>
      <c r="AP13" s="1" t="s">
        <v>403</v>
      </c>
      <c r="AQ13" t="s">
        <v>80</v>
      </c>
      <c r="AR13" s="1" t="s">
        <v>60</v>
      </c>
      <c r="AS13" t="s">
        <v>61</v>
      </c>
      <c r="AT13">
        <v>100</v>
      </c>
      <c r="AU13">
        <v>1</v>
      </c>
      <c r="AV13">
        <v>1000000</v>
      </c>
      <c r="AW13">
        <v>1000000</v>
      </c>
      <c r="AX13">
        <v>100000</v>
      </c>
      <c r="AY13">
        <v>10</v>
      </c>
      <c r="AZ13">
        <v>10000</v>
      </c>
      <c r="BB13" t="s">
        <v>82</v>
      </c>
      <c r="BC13" t="s">
        <v>62</v>
      </c>
      <c r="BD13" t="s">
        <v>68</v>
      </c>
      <c r="BE13" t="s">
        <v>65</v>
      </c>
      <c r="BF13" s="3" t="s">
        <v>109</v>
      </c>
      <c r="BG13" t="s">
        <v>70</v>
      </c>
      <c r="BJ13" s="1" t="s">
        <v>306</v>
      </c>
      <c r="BK13" s="1" t="s">
        <v>306</v>
      </c>
      <c r="BL13" t="s">
        <v>73</v>
      </c>
      <c r="BM13" s="3" t="s">
        <v>404</v>
      </c>
      <c r="BN13" s="1" t="s">
        <v>85</v>
      </c>
      <c r="EB13" t="s">
        <v>401</v>
      </c>
      <c r="EC13" t="s">
        <v>405</v>
      </c>
      <c r="ED13" t="s">
        <v>406</v>
      </c>
      <c r="EE13" s="15" t="s">
        <v>15</v>
      </c>
      <c r="EF13" t="s">
        <v>437</v>
      </c>
    </row>
    <row r="14" spans="1:136" x14ac:dyDescent="0.25">
      <c r="A14" t="s">
        <v>411</v>
      </c>
      <c r="J14" t="s">
        <v>133</v>
      </c>
      <c r="K14" t="s">
        <v>425</v>
      </c>
      <c r="P14" t="s">
        <v>134</v>
      </c>
      <c r="T14" t="s">
        <v>135</v>
      </c>
      <c r="V14" t="s">
        <v>136</v>
      </c>
      <c r="W14" t="s">
        <v>137</v>
      </c>
      <c r="X14" t="s">
        <v>138</v>
      </c>
      <c r="Y14" t="s">
        <v>57</v>
      </c>
      <c r="Z14" t="s">
        <v>139</v>
      </c>
      <c r="AA14" t="s">
        <v>140</v>
      </c>
      <c r="AB14" t="s">
        <v>141</v>
      </c>
      <c r="AC14" t="s">
        <v>141</v>
      </c>
      <c r="AD14" t="s">
        <v>142</v>
      </c>
      <c r="AE14" t="s">
        <v>143</v>
      </c>
      <c r="AF14" t="s">
        <v>144</v>
      </c>
      <c r="AI14" t="s">
        <v>145</v>
      </c>
      <c r="AJ14" s="1" t="s">
        <v>146</v>
      </c>
      <c r="AK14" s="1" t="s">
        <v>147</v>
      </c>
      <c r="AL14" s="1" t="s">
        <v>148</v>
      </c>
      <c r="AM14" s="1" t="s">
        <v>149</v>
      </c>
      <c r="AN14" t="s">
        <v>150</v>
      </c>
      <c r="AO14" t="s">
        <v>151</v>
      </c>
      <c r="AP14" s="1" t="s">
        <v>403</v>
      </c>
      <c r="AQ14" t="s">
        <v>152</v>
      </c>
      <c r="AR14" t="s">
        <v>152</v>
      </c>
      <c r="AS14" t="s">
        <v>153</v>
      </c>
      <c r="AT14">
        <v>51</v>
      </c>
      <c r="AY14">
        <v>10</v>
      </c>
      <c r="BD14" t="s">
        <v>154</v>
      </c>
      <c r="BE14" s="1" t="s">
        <v>155</v>
      </c>
      <c r="BM14" s="3" t="s">
        <v>413</v>
      </c>
      <c r="BQ14">
        <v>50</v>
      </c>
      <c r="BR14" t="s">
        <v>156</v>
      </c>
      <c r="BS14" t="s">
        <v>157</v>
      </c>
      <c r="BU14" t="s">
        <v>158</v>
      </c>
      <c r="BV14">
        <v>57.5</v>
      </c>
      <c r="BW14">
        <v>1000</v>
      </c>
      <c r="EE14" s="15" t="s">
        <v>15</v>
      </c>
      <c r="EF14" t="s">
        <v>438</v>
      </c>
    </row>
    <row r="15" spans="1:136" x14ac:dyDescent="0.25">
      <c r="A15" t="s">
        <v>414</v>
      </c>
      <c r="J15" t="s">
        <v>133</v>
      </c>
      <c r="K15" t="s">
        <v>425</v>
      </c>
      <c r="P15" t="s">
        <v>134</v>
      </c>
      <c r="T15" t="s">
        <v>135</v>
      </c>
      <c r="V15" t="s">
        <v>136</v>
      </c>
      <c r="W15" t="s">
        <v>137</v>
      </c>
      <c r="X15" t="s">
        <v>138</v>
      </c>
      <c r="Y15" t="s">
        <v>57</v>
      </c>
      <c r="Z15" t="s">
        <v>139</v>
      </c>
      <c r="AA15" t="s">
        <v>140</v>
      </c>
      <c r="AB15" t="s">
        <v>141</v>
      </c>
      <c r="AC15" t="s">
        <v>141</v>
      </c>
      <c r="AD15" t="s">
        <v>142</v>
      </c>
      <c r="AE15" t="s">
        <v>143</v>
      </c>
      <c r="AF15" t="s">
        <v>144</v>
      </c>
      <c r="AI15" t="s">
        <v>145</v>
      </c>
      <c r="AJ15" s="1" t="s">
        <v>146</v>
      </c>
      <c r="AK15" s="1" t="s">
        <v>147</v>
      </c>
      <c r="AL15" s="1" t="s">
        <v>148</v>
      </c>
      <c r="AM15" s="1" t="s">
        <v>149</v>
      </c>
      <c r="AN15" t="s">
        <v>150</v>
      </c>
      <c r="AO15" t="s">
        <v>151</v>
      </c>
      <c r="AP15" s="1" t="s">
        <v>403</v>
      </c>
      <c r="AQ15" t="s">
        <v>152</v>
      </c>
      <c r="AR15" t="s">
        <v>152</v>
      </c>
      <c r="AS15" t="s">
        <v>153</v>
      </c>
      <c r="AT15">
        <v>51</v>
      </c>
      <c r="AY15">
        <v>10</v>
      </c>
      <c r="BD15" t="s">
        <v>154</v>
      </c>
      <c r="BE15" s="1" t="s">
        <v>155</v>
      </c>
      <c r="BM15" s="3" t="s">
        <v>413</v>
      </c>
      <c r="BQ15">
        <v>50</v>
      </c>
      <c r="BR15" t="s">
        <v>156</v>
      </c>
      <c r="BS15" t="s">
        <v>157</v>
      </c>
      <c r="BU15" t="s">
        <v>158</v>
      </c>
      <c r="BV15">
        <v>57.5</v>
      </c>
      <c r="BW15">
        <v>1000</v>
      </c>
      <c r="EE15" s="15" t="s">
        <v>15</v>
      </c>
      <c r="EF15" t="s">
        <v>439</v>
      </c>
    </row>
    <row r="16" spans="1:136" x14ac:dyDescent="0.25">
      <c r="P16" t="s">
        <v>52</v>
      </c>
      <c r="V16" t="s">
        <v>445</v>
      </c>
      <c r="X16" t="s">
        <v>446</v>
      </c>
      <c r="EE16" s="15" t="s">
        <v>15</v>
      </c>
      <c r="EF16" t="s">
        <v>440</v>
      </c>
    </row>
    <row r="17" spans="135:135" ht="13.5" customHeight="1" x14ac:dyDescent="0.25">
      <c r="EE17" s="15" t="s">
        <v>15</v>
      </c>
    </row>
    <row r="18" spans="135:135" x14ac:dyDescent="0.25">
      <c r="EE18" s="15" t="s">
        <v>15</v>
      </c>
    </row>
    <row r="19" spans="135:135" x14ac:dyDescent="0.25">
      <c r="EE19" s="15" t="s">
        <v>15</v>
      </c>
    </row>
    <row r="20" spans="135:135" x14ac:dyDescent="0.25">
      <c r="EE20" s="15" t="s">
        <v>15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9313-9D65-48F8-A4CA-423ABD158E74}">
  <dimension ref="A1:N22"/>
  <sheetViews>
    <sheetView zoomScale="104" zoomScaleNormal="104" workbookViewId="0">
      <selection sqref="A1:XFD1048576"/>
    </sheetView>
  </sheetViews>
  <sheetFormatPr defaultRowHeight="15" x14ac:dyDescent="0.25"/>
  <cols>
    <col min="1" max="1" width="48.5703125" bestFit="1" customWidth="1"/>
    <col min="2" max="2" width="48.5703125" customWidth="1"/>
    <col min="3" max="3" width="14.42578125" customWidth="1"/>
    <col min="4" max="4" width="31.7109375" bestFit="1" customWidth="1"/>
    <col min="5" max="5" width="24.28515625" bestFit="1" customWidth="1"/>
    <col min="6" max="6" width="19.5703125" bestFit="1" customWidth="1"/>
    <col min="7" max="7" width="15" bestFit="1" customWidth="1"/>
    <col min="10" max="10" width="17.7109375" customWidth="1"/>
    <col min="11" max="11" width="25.28515625" customWidth="1"/>
  </cols>
  <sheetData>
    <row r="1" spans="1:14" x14ac:dyDescent="0.25">
      <c r="A1" t="s">
        <v>4</v>
      </c>
      <c r="B1" t="s">
        <v>88</v>
      </c>
      <c r="C1" t="s">
        <v>5</v>
      </c>
      <c r="D1" t="s">
        <v>6</v>
      </c>
      <c r="E1" t="s">
        <v>7</v>
      </c>
      <c r="F1" t="s">
        <v>13</v>
      </c>
      <c r="G1" t="s">
        <v>8</v>
      </c>
      <c r="H1" t="s">
        <v>9</v>
      </c>
      <c r="I1" t="s">
        <v>14</v>
      </c>
      <c r="J1" t="s">
        <v>96</v>
      </c>
      <c r="K1" t="s">
        <v>336</v>
      </c>
      <c r="L1" t="s">
        <v>337</v>
      </c>
      <c r="M1" t="s">
        <v>316</v>
      </c>
      <c r="N1" s="6" t="s">
        <v>426</v>
      </c>
    </row>
    <row r="2" spans="1:14" x14ac:dyDescent="0.25">
      <c r="A2" t="s">
        <v>93</v>
      </c>
      <c r="C2" t="s">
        <v>10</v>
      </c>
      <c r="G2" s="19" t="s">
        <v>442</v>
      </c>
      <c r="N2" s="15" t="s">
        <v>15</v>
      </c>
    </row>
    <row r="3" spans="1:14" x14ac:dyDescent="0.25">
      <c r="A3" t="s">
        <v>91</v>
      </c>
      <c r="D3" t="s">
        <v>428</v>
      </c>
      <c r="E3" t="s">
        <v>11</v>
      </c>
      <c r="G3" s="19" t="s">
        <v>443</v>
      </c>
      <c r="I3" t="s">
        <v>15</v>
      </c>
      <c r="N3" s="15" t="s">
        <v>15</v>
      </c>
    </row>
    <row r="4" spans="1:14" x14ac:dyDescent="0.25">
      <c r="A4" t="s">
        <v>92</v>
      </c>
      <c r="D4" t="s">
        <v>427</v>
      </c>
      <c r="F4" t="s">
        <v>12</v>
      </c>
      <c r="G4" s="19" t="s">
        <v>444</v>
      </c>
      <c r="I4" t="s">
        <v>15</v>
      </c>
      <c r="N4" s="15" t="s">
        <v>15</v>
      </c>
    </row>
    <row r="5" spans="1:14" x14ac:dyDescent="0.25">
      <c r="A5" t="s">
        <v>114</v>
      </c>
      <c r="D5" t="s">
        <v>90</v>
      </c>
      <c r="G5" t="s">
        <v>136</v>
      </c>
      <c r="H5" t="s">
        <v>86</v>
      </c>
      <c r="N5" s="15" t="s">
        <v>15</v>
      </c>
    </row>
    <row r="6" spans="1:14" x14ac:dyDescent="0.25">
      <c r="A6" t="s">
        <v>115</v>
      </c>
      <c r="G6" t="s">
        <v>178</v>
      </c>
      <c r="H6" t="s">
        <v>87</v>
      </c>
      <c r="N6" s="15" t="s">
        <v>15</v>
      </c>
    </row>
    <row r="7" spans="1:14" x14ac:dyDescent="0.25">
      <c r="A7" t="s">
        <v>94</v>
      </c>
      <c r="B7">
        <v>2023</v>
      </c>
      <c r="D7" t="s">
        <v>89</v>
      </c>
      <c r="G7" s="19" t="s">
        <v>441</v>
      </c>
      <c r="I7" t="s">
        <v>15</v>
      </c>
      <c r="N7" s="15" t="s">
        <v>15</v>
      </c>
    </row>
    <row r="8" spans="1:14" x14ac:dyDescent="0.25">
      <c r="A8" t="s">
        <v>95</v>
      </c>
      <c r="B8">
        <v>2017</v>
      </c>
      <c r="D8" t="s">
        <v>89</v>
      </c>
      <c r="G8" t="s">
        <v>203</v>
      </c>
      <c r="I8" t="s">
        <v>15</v>
      </c>
      <c r="N8" s="15" t="s">
        <v>15</v>
      </c>
    </row>
    <row r="9" spans="1:14" x14ac:dyDescent="0.25">
      <c r="A9" t="s">
        <v>97</v>
      </c>
      <c r="D9" t="s">
        <v>89</v>
      </c>
      <c r="G9" s="19" t="s">
        <v>442</v>
      </c>
      <c r="J9" s="1" t="s">
        <v>98</v>
      </c>
      <c r="N9" s="15" t="s">
        <v>15</v>
      </c>
    </row>
    <row r="10" spans="1:14" x14ac:dyDescent="0.25">
      <c r="A10" t="s">
        <v>116</v>
      </c>
      <c r="C10" t="s">
        <v>117</v>
      </c>
      <c r="G10" s="19" t="s">
        <v>443</v>
      </c>
      <c r="H10" s="19"/>
      <c r="N10" s="15" t="s">
        <v>15</v>
      </c>
    </row>
    <row r="11" spans="1:14" x14ac:dyDescent="0.25">
      <c r="A11" t="s">
        <v>118</v>
      </c>
      <c r="C11" t="s">
        <v>117</v>
      </c>
      <c r="G11" s="19" t="s">
        <v>444</v>
      </c>
      <c r="N11" s="15" t="s">
        <v>15</v>
      </c>
    </row>
    <row r="12" spans="1:14" x14ac:dyDescent="0.25">
      <c r="A12" t="s">
        <v>121</v>
      </c>
      <c r="D12" t="s">
        <v>122</v>
      </c>
      <c r="E12" t="s">
        <v>123</v>
      </c>
      <c r="G12" t="s">
        <v>360</v>
      </c>
      <c r="J12" t="s">
        <v>124</v>
      </c>
      <c r="N12" s="15" t="s">
        <v>15</v>
      </c>
    </row>
    <row r="13" spans="1:14" x14ac:dyDescent="0.25">
      <c r="A13" t="s">
        <v>125</v>
      </c>
      <c r="D13" t="s">
        <v>126</v>
      </c>
      <c r="E13" t="s">
        <v>127</v>
      </c>
      <c r="G13" s="19" t="s">
        <v>441</v>
      </c>
      <c r="J13" t="s">
        <v>124</v>
      </c>
      <c r="N13" s="15" t="s">
        <v>15</v>
      </c>
    </row>
    <row r="14" spans="1:14" x14ac:dyDescent="0.25">
      <c r="A14" t="s">
        <v>128</v>
      </c>
      <c r="D14" t="s">
        <v>129</v>
      </c>
      <c r="E14" t="s">
        <v>11</v>
      </c>
      <c r="G14" t="s">
        <v>136</v>
      </c>
      <c r="J14" t="s">
        <v>124</v>
      </c>
      <c r="N14" s="15" t="s">
        <v>15</v>
      </c>
    </row>
    <row r="15" spans="1:14" x14ac:dyDescent="0.25">
      <c r="A15" t="s">
        <v>130</v>
      </c>
      <c r="D15" t="s">
        <v>129</v>
      </c>
      <c r="E15" t="s">
        <v>11</v>
      </c>
      <c r="G15" t="s">
        <v>136</v>
      </c>
      <c r="J15" t="s">
        <v>98</v>
      </c>
      <c r="N15" s="15" t="s">
        <v>15</v>
      </c>
    </row>
    <row r="16" spans="1:14" x14ac:dyDescent="0.25">
      <c r="A16" t="s">
        <v>198</v>
      </c>
      <c r="D16" t="s">
        <v>89</v>
      </c>
      <c r="G16" s="19" t="s">
        <v>445</v>
      </c>
      <c r="N16" s="15" t="s">
        <v>15</v>
      </c>
    </row>
    <row r="17" spans="1:14" x14ac:dyDescent="0.25">
      <c r="A17" t="s">
        <v>315</v>
      </c>
      <c r="D17" t="s">
        <v>89</v>
      </c>
      <c r="G17" s="19" t="s">
        <v>443</v>
      </c>
      <c r="K17" s="15" t="s">
        <v>317</v>
      </c>
      <c r="L17" t="s">
        <v>318</v>
      </c>
      <c r="M17" t="s">
        <v>319</v>
      </c>
      <c r="N17" s="15" t="s">
        <v>15</v>
      </c>
    </row>
    <row r="18" spans="1:14" x14ac:dyDescent="0.25">
      <c r="A18" t="s">
        <v>320</v>
      </c>
      <c r="G18" s="19" t="s">
        <v>444</v>
      </c>
      <c r="K18" t="s">
        <v>321</v>
      </c>
      <c r="L18" t="s">
        <v>322</v>
      </c>
      <c r="M18" t="s">
        <v>323</v>
      </c>
      <c r="N18" s="15" t="s">
        <v>15</v>
      </c>
    </row>
    <row r="19" spans="1:14" x14ac:dyDescent="0.25">
      <c r="A19" t="s">
        <v>324</v>
      </c>
      <c r="G19" t="s">
        <v>360</v>
      </c>
      <c r="K19" t="s">
        <v>325</v>
      </c>
      <c r="L19" t="s">
        <v>326</v>
      </c>
      <c r="M19" t="s">
        <v>327</v>
      </c>
      <c r="N19" s="15" t="s">
        <v>15</v>
      </c>
    </row>
    <row r="20" spans="1:14" x14ac:dyDescent="0.25">
      <c r="A20" t="s">
        <v>328</v>
      </c>
      <c r="D20" t="s">
        <v>129</v>
      </c>
      <c r="G20" s="19" t="s">
        <v>441</v>
      </c>
      <c r="K20" t="s">
        <v>329</v>
      </c>
      <c r="L20" t="s">
        <v>330</v>
      </c>
      <c r="M20" t="s">
        <v>331</v>
      </c>
      <c r="N20" s="15" t="s">
        <v>15</v>
      </c>
    </row>
    <row r="21" spans="1:14" x14ac:dyDescent="0.25">
      <c r="A21" t="s">
        <v>332</v>
      </c>
      <c r="G21" t="s">
        <v>136</v>
      </c>
      <c r="K21" t="s">
        <v>333</v>
      </c>
      <c r="L21" t="s">
        <v>334</v>
      </c>
      <c r="M21" t="s">
        <v>335</v>
      </c>
      <c r="N21" s="15" t="s">
        <v>15</v>
      </c>
    </row>
    <row r="22" spans="1:14" x14ac:dyDescent="0.25">
      <c r="A22" t="s">
        <v>339</v>
      </c>
      <c r="C22" t="s">
        <v>415</v>
      </c>
      <c r="G22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E0C7-E414-4647-B584-24267D85E493}">
  <dimension ref="A1:Q8"/>
  <sheetViews>
    <sheetView topLeftCell="J1" workbookViewId="0">
      <selection activeCell="M8" sqref="M8"/>
    </sheetView>
  </sheetViews>
  <sheetFormatPr defaultRowHeight="15" x14ac:dyDescent="0.25"/>
  <cols>
    <col min="1" max="1" width="26.7109375" bestFit="1" customWidth="1"/>
    <col min="2" max="2" width="13.7109375" bestFit="1" customWidth="1"/>
    <col min="3" max="3" width="40.28515625" bestFit="1" customWidth="1"/>
    <col min="4" max="4" width="15.28515625" bestFit="1" customWidth="1"/>
    <col min="5" max="5" width="10.42578125" bestFit="1" customWidth="1"/>
    <col min="6" max="6" width="15.5703125" bestFit="1" customWidth="1"/>
    <col min="8" max="8" width="14.42578125" bestFit="1" customWidth="1"/>
    <col min="9" max="9" width="9.5703125" bestFit="1" customWidth="1"/>
    <col min="10" max="10" width="16.5703125" bestFit="1" customWidth="1"/>
    <col min="11" max="11" width="20.7109375" bestFit="1" customWidth="1"/>
    <col min="12" max="12" width="12.28515625" bestFit="1" customWidth="1"/>
    <col min="13" max="13" width="19.42578125" bestFit="1" customWidth="1"/>
    <col min="14" max="14" width="17.42578125" bestFit="1" customWidth="1"/>
    <col min="15" max="15" width="14.5703125" bestFit="1" customWidth="1"/>
    <col min="16" max="16" width="27.5703125" bestFit="1" customWidth="1"/>
  </cols>
  <sheetData>
    <row r="1" spans="1:17" x14ac:dyDescent="0.25">
      <c r="A1" t="s">
        <v>4</v>
      </c>
      <c r="B1" t="s">
        <v>88</v>
      </c>
      <c r="C1" t="s">
        <v>5</v>
      </c>
      <c r="D1" t="s">
        <v>6</v>
      </c>
      <c r="E1" t="s">
        <v>7</v>
      </c>
      <c r="F1" t="s">
        <v>246</v>
      </c>
      <c r="G1" t="s">
        <v>252</v>
      </c>
      <c r="H1" t="s">
        <v>268</v>
      </c>
      <c r="I1" t="s">
        <v>98</v>
      </c>
      <c r="J1" t="s">
        <v>269</v>
      </c>
      <c r="K1" t="s">
        <v>46</v>
      </c>
      <c r="L1" t="s">
        <v>270</v>
      </c>
      <c r="M1" t="s">
        <v>13</v>
      </c>
      <c r="N1" t="s">
        <v>33</v>
      </c>
      <c r="O1" t="s">
        <v>275</v>
      </c>
      <c r="P1" t="s">
        <v>277</v>
      </c>
      <c r="Q1" s="6" t="s">
        <v>426</v>
      </c>
    </row>
    <row r="2" spans="1:17" ht="45" x14ac:dyDescent="0.25">
      <c r="A2" t="s">
        <v>119</v>
      </c>
      <c r="B2">
        <v>2023</v>
      </c>
      <c r="C2" t="s">
        <v>266</v>
      </c>
      <c r="D2" t="s">
        <v>244</v>
      </c>
      <c r="E2" t="s">
        <v>245</v>
      </c>
      <c r="F2" t="s">
        <v>254</v>
      </c>
      <c r="G2" t="s">
        <v>253</v>
      </c>
      <c r="H2" s="8" t="s">
        <v>279</v>
      </c>
      <c r="I2" t="s">
        <v>267</v>
      </c>
      <c r="J2" t="s">
        <v>280</v>
      </c>
      <c r="K2" t="s">
        <v>272</v>
      </c>
      <c r="L2" t="s">
        <v>271</v>
      </c>
      <c r="M2" t="s">
        <v>273</v>
      </c>
      <c r="N2" t="s">
        <v>274</v>
      </c>
      <c r="O2" t="s">
        <v>276</v>
      </c>
      <c r="P2" t="s">
        <v>278</v>
      </c>
      <c r="Q2" s="15" t="s">
        <v>15</v>
      </c>
    </row>
    <row r="3" spans="1:17" ht="90" x14ac:dyDescent="0.25">
      <c r="A3" t="s">
        <v>282</v>
      </c>
      <c r="B3">
        <v>2022</v>
      </c>
      <c r="C3" t="s">
        <v>285</v>
      </c>
      <c r="D3" s="8" t="s">
        <v>286</v>
      </c>
      <c r="E3" t="s">
        <v>287</v>
      </c>
      <c r="F3" t="s">
        <v>254</v>
      </c>
      <c r="G3" t="s">
        <v>283</v>
      </c>
      <c r="H3" t="s">
        <v>294</v>
      </c>
      <c r="I3" t="s">
        <v>284</v>
      </c>
      <c r="J3" s="8" t="s">
        <v>289</v>
      </c>
      <c r="K3" s="8" t="s">
        <v>291</v>
      </c>
      <c r="L3" s="8" t="s">
        <v>290</v>
      </c>
      <c r="M3" s="8" t="s">
        <v>292</v>
      </c>
      <c r="N3" s="8" t="s">
        <v>293</v>
      </c>
      <c r="P3" s="8" t="s">
        <v>288</v>
      </c>
      <c r="Q3" s="15" t="s">
        <v>15</v>
      </c>
    </row>
    <row r="4" spans="1:17" x14ac:dyDescent="0.25">
      <c r="A4" t="s">
        <v>295</v>
      </c>
      <c r="B4">
        <v>2023</v>
      </c>
      <c r="F4" t="s">
        <v>297</v>
      </c>
      <c r="N4" t="s">
        <v>296</v>
      </c>
    </row>
    <row r="8" spans="1:17" x14ac:dyDescent="0.25">
      <c r="J8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Reports</vt:lpstr>
      <vt:lpstr>CreateInsured</vt:lpstr>
      <vt:lpstr>SearchSubmission</vt:lpstr>
      <vt:lpstr>Worksheets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Vipin</dc:creator>
  <cp:lastModifiedBy>Fuertes, Alfonso</cp:lastModifiedBy>
  <dcterms:created xsi:type="dcterms:W3CDTF">2015-06-05T18:17:20Z</dcterms:created>
  <dcterms:modified xsi:type="dcterms:W3CDTF">2026-02-10T22:50:46Z</dcterms:modified>
</cp:coreProperties>
</file>